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https://d.docs.live.net/0f4dc847ec8b5479/Documents/CWRU/Spring 2025/MGMT205/Homework/Life Application Tasks/"/>
    </mc:Choice>
  </mc:AlternateContent>
  <xr:revisionPtr revIDLastSave="0" documentId="8_{1E9F5DF4-0299-4CDF-B5F2-8EA194DF1F59}" xr6:coauthVersionLast="47" xr6:coauthVersionMax="47" xr10:uidLastSave="{00000000-0000-0000-0000-000000000000}"/>
  <bookViews>
    <workbookView xWindow="-110" yWindow="-110" windowWidth="25820" windowHeight="15500" firstSheet="3" activeTab="8" xr2:uid="{00000000-000D-0000-FFFF-FFFF00000000}"/>
  </bookViews>
  <sheets>
    <sheet name="1. Directions" sheetId="1" r:id="rId1"/>
    <sheet name="2. Income" sheetId="2" r:id="rId2"/>
    <sheet name="3. FICA tax" sheetId="3" r:id="rId3"/>
    <sheet name="4. Local income tax" sheetId="4" r:id="rId4"/>
    <sheet name="5. Retirement contributions" sheetId="5" r:id="rId5"/>
    <sheet name="6. Federal Taxes" sheetId="6" r:id="rId6"/>
    <sheet name="7. State taxes" sheetId="7" r:id="rId7"/>
    <sheet name="8. Health insurance" sheetId="8" r:id="rId8"/>
    <sheet name="9. Summary " sheetId="9" r:id="rId9"/>
    <sheet name="Grading Rubric" sheetId="10" state="hidden"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4" roundtripDataChecksum="CKIuOEAy/1h286qFgDIVIZ4DE3jzSZrMsGiuf7Bfvto="/>
    </ext>
  </extLst>
</workbook>
</file>

<file path=xl/calcChain.xml><?xml version="1.0" encoding="utf-8"?>
<calcChain xmlns="http://schemas.openxmlformats.org/spreadsheetml/2006/main">
  <c r="B23" i="9" l="1"/>
  <c r="B22" i="9"/>
  <c r="B21" i="9"/>
  <c r="B20" i="9"/>
  <c r="B11" i="9"/>
  <c r="B12" i="9"/>
  <c r="B13" i="9"/>
  <c r="B10" i="9"/>
  <c r="B14" i="9" s="1"/>
  <c r="B4" i="9"/>
  <c r="B7" i="9"/>
  <c r="O7" i="8"/>
  <c r="K15" i="7"/>
  <c r="K20" i="7" s="1"/>
  <c r="K13" i="7"/>
  <c r="J10" i="7"/>
  <c r="J8" i="7"/>
  <c r="I17" i="6"/>
  <c r="I23" i="6"/>
  <c r="H9" i="6"/>
  <c r="H6" i="6"/>
  <c r="B37" i="6"/>
  <c r="H5" i="6"/>
  <c r="H4" i="6"/>
  <c r="H3" i="6"/>
  <c r="N20" i="5"/>
  <c r="N21" i="5"/>
  <c r="N22" i="5"/>
  <c r="N19" i="5"/>
  <c r="N14" i="5"/>
  <c r="N13" i="5"/>
  <c r="N12" i="5"/>
  <c r="N8" i="5"/>
  <c r="N7" i="5"/>
  <c r="N6" i="5"/>
  <c r="G11" i="4"/>
  <c r="G6" i="4"/>
  <c r="G4" i="4"/>
  <c r="M7" i="3"/>
  <c r="M29" i="3"/>
  <c r="M30" i="3"/>
  <c r="M5" i="3"/>
  <c r="M3" i="3"/>
  <c r="M11" i="2"/>
  <c r="M13" i="2" s="1"/>
  <c r="B54" i="10"/>
  <c r="F59" i="7"/>
  <c r="E59" i="7"/>
  <c r="E58" i="7"/>
  <c r="F58" i="7" s="1"/>
  <c r="F57" i="7"/>
  <c r="E57" i="7"/>
  <c r="E56" i="7"/>
  <c r="F56" i="7" s="1"/>
  <c r="E55" i="7"/>
  <c r="M18" i="3"/>
  <c r="M20" i="3" s="1"/>
  <c r="M17" i="3"/>
  <c r="M16" i="3"/>
  <c r="M11" i="3"/>
  <c r="M12" i="3" s="1"/>
  <c r="B24" i="9" l="1"/>
  <c r="B29" i="9"/>
  <c r="H7" i="6"/>
  <c r="F55" i="7"/>
  <c r="B27" i="9"/>
  <c r="E60" i="7"/>
  <c r="F60" i="7" s="1"/>
  <c r="B28" i="9"/>
  <c r="F61" i="7" l="1"/>
  <c r="E61" i="7"/>
</calcChain>
</file>

<file path=xl/sharedStrings.xml><?xml version="1.0" encoding="utf-8"?>
<sst xmlns="http://schemas.openxmlformats.org/spreadsheetml/2006/main" count="247" uniqueCount="212">
  <si>
    <t>Job /position</t>
  </si>
  <si>
    <t>City</t>
  </si>
  <si>
    <t>State</t>
  </si>
  <si>
    <t>Source of information</t>
  </si>
  <si>
    <t>Annual Salary</t>
  </si>
  <si>
    <t>Plus: Other earned income (if any)</t>
  </si>
  <si>
    <t>Total income for the year</t>
  </si>
  <si>
    <t>Divide by 12</t>
  </si>
  <si>
    <t>Monthly income for a budget</t>
  </si>
  <si>
    <t>Annual salary, if BELOW $176,100</t>
  </si>
  <si>
    <t>FICA rate</t>
  </si>
  <si>
    <t>Total FICA Tax</t>
  </si>
  <si>
    <t>divide by 12</t>
  </si>
  <si>
    <t>Monthly FICA tax for budget</t>
  </si>
  <si>
    <t>Annual salary, if ABOVE $176,100</t>
  </si>
  <si>
    <t>Less social security cap</t>
  </si>
  <si>
    <t>Excess over cap</t>
  </si>
  <si>
    <t>Medicare tax rate on excess</t>
  </si>
  <si>
    <t>Medicare tax on excess</t>
  </si>
  <si>
    <t xml:space="preserve">Plus: </t>
  </si>
  <si>
    <t>Social security cap</t>
  </si>
  <si>
    <t>FICA tax rate</t>
  </si>
  <si>
    <t>FICA on salary up to cap</t>
  </si>
  <si>
    <t>Total FICA tax (SS and Medicare)</t>
  </si>
  <si>
    <t>2022 SS  Wage cap</t>
  </si>
  <si>
    <t>Any self-employment income?</t>
  </si>
  <si>
    <t>If so, calculate double the FICA rate on it</t>
  </si>
  <si>
    <t>Monthly FICA  on self-employed income</t>
  </si>
  <si>
    <t>Plus monthly FICA on salary (above)</t>
  </si>
  <si>
    <t>Total monthly FICA for budget</t>
  </si>
  <si>
    <t>Will you have a local income tax?</t>
  </si>
  <si>
    <t>Annual earned income</t>
  </si>
  <si>
    <t>Local income tax rate</t>
  </si>
  <si>
    <t>Total yearly local income tax</t>
  </si>
  <si>
    <t>-OR-</t>
  </si>
  <si>
    <t>Total flat dollar amount per year</t>
  </si>
  <si>
    <t>Monthly local income tax for budget</t>
  </si>
  <si>
    <t>https://www.ritaohio.com/municipalities</t>
  </si>
  <si>
    <t>http://ccatax.ci.cleveland.oh.us/?p=taxrates</t>
  </si>
  <si>
    <t>https://taxfoundation.org/local-income-taxes-2019/</t>
  </si>
  <si>
    <t>Step 1:</t>
  </si>
  <si>
    <t>Advised amount:</t>
  </si>
  <si>
    <t>Annual salary</t>
  </si>
  <si>
    <t>10% of salary</t>
  </si>
  <si>
    <t>15% of salary</t>
  </si>
  <si>
    <t>Step 2:</t>
  </si>
  <si>
    <t>Decision:</t>
  </si>
  <si>
    <t>Per year</t>
  </si>
  <si>
    <t>Total amount you want to contribute</t>
  </si>
  <si>
    <t>Of total amount, how much to  traditional 401K?</t>
  </si>
  <si>
    <t>Of total amount, how much to  ROTH 401K?</t>
  </si>
  <si>
    <t>Of total amount, how much to traditional IRA?</t>
  </si>
  <si>
    <t>Of total amount, how much to ROTH IRA?</t>
  </si>
  <si>
    <t>Divide by 12 to get the amounts for your budget</t>
  </si>
  <si>
    <t>Traditional 401k  monthly contribution</t>
  </si>
  <si>
    <t>ROTH 401k monthly  contribution</t>
  </si>
  <si>
    <t>Traditional IRA monthly contribution</t>
  </si>
  <si>
    <t>ROTH IRA monthly contribution</t>
  </si>
  <si>
    <t>Step 1:  Calculate taxable income</t>
  </si>
  <si>
    <t xml:space="preserve"> TOTAL FOR YEAR</t>
  </si>
  <si>
    <t>Annual Income</t>
  </si>
  <si>
    <r>
      <rPr>
        <sz val="11"/>
        <color theme="1"/>
        <rFont val="Calibri"/>
        <family val="2"/>
      </rPr>
      <t xml:space="preserve">Less: Total contributions to </t>
    </r>
    <r>
      <rPr>
        <b/>
        <sz val="11"/>
        <color theme="1"/>
        <rFont val="Calibri"/>
        <family val="2"/>
      </rPr>
      <t>Traditional 401(k) (no deduction for a Roth)</t>
    </r>
  </si>
  <si>
    <r>
      <rPr>
        <sz val="11"/>
        <color theme="1"/>
        <rFont val="Calibri"/>
        <family val="2"/>
      </rPr>
      <t xml:space="preserve">Less: Total contribution to </t>
    </r>
    <r>
      <rPr>
        <b/>
        <sz val="11"/>
        <color theme="1"/>
        <rFont val="Calibri"/>
        <family val="2"/>
      </rPr>
      <t>Traditional IRA (no deduction for a Roth!)</t>
    </r>
  </si>
  <si>
    <t>Less: Interest on Student Loan  ($2,500 max) subject to income limit</t>
  </si>
  <si>
    <t>Adjusted Gross Income (AGI)</t>
  </si>
  <si>
    <t>Less: Standard Deduction (Single taxpayer)</t>
  </si>
  <si>
    <t>Taxable income</t>
  </si>
  <si>
    <t>Step 2:  Calculate income tax</t>
  </si>
  <si>
    <t>2022 Tax Brackets:  Find the ONE bracket your taxable income (above) falls within</t>
  </si>
  <si>
    <t>Then federal tax due is….</t>
  </si>
  <si>
    <t>Calculate YOUR Federal tax</t>
  </si>
  <si>
    <t>$0-$10,275</t>
  </si>
  <si>
    <t>10% of taxable income</t>
  </si>
  <si>
    <t>$10,275-$41,775</t>
  </si>
  <si>
    <t>$1,027 + 12% of the taxable income over $10,275</t>
  </si>
  <si>
    <t>$41,775- $89,075</t>
  </si>
  <si>
    <t>$4,807 + 22% of the taxable income over $41,775</t>
  </si>
  <si>
    <t>$89,075- $170,050</t>
  </si>
  <si>
    <t>$15,213 + 24% of the taxable income over $89,075</t>
  </si>
  <si>
    <t>$170,050-$215,950</t>
  </si>
  <si>
    <t>$34,647 + 32% of the taxable income over $170,050</t>
  </si>
  <si>
    <t>$215,950- $539,900</t>
  </si>
  <si>
    <t>$49,335 + 35% of the taxable income over $215,950</t>
  </si>
  <si>
    <t>Over $539,900</t>
  </si>
  <si>
    <t>$162,718+ 37% of the taxable income over $539,900</t>
  </si>
  <si>
    <t>Step 3:  Divide by 12 to for monthly budget</t>
  </si>
  <si>
    <t>Total student loan balance</t>
  </si>
  <si>
    <t>Average Interest Rate (see below)</t>
  </si>
  <si>
    <t>Student loan interest</t>
  </si>
  <si>
    <t>FEDERAL STUDENT LOAN INTEREST RATES (Based on year they were given):</t>
  </si>
  <si>
    <t>What state will you live in?</t>
  </si>
  <si>
    <t>Do they have income tax?</t>
  </si>
  <si>
    <t>Step 2:   ONLY IF OHIO</t>
  </si>
  <si>
    <t>AGI from federal taxes worksheet cell H7</t>
  </si>
  <si>
    <t>Less: personal exemption</t>
  </si>
  <si>
    <t>Ohio Taxable income</t>
  </si>
  <si>
    <t>2023 Tax brackets: Ohio Taxable Income</t>
  </si>
  <si>
    <t>Tax Calculation</t>
  </si>
  <si>
    <t>0 - $26,050</t>
  </si>
  <si>
    <t>$26,050- $100,000</t>
  </si>
  <si>
    <t>$360.59 + 2.75% of excess over $26,050</t>
  </si>
  <si>
    <t>$100,000- $115,300</t>
  </si>
  <si>
    <t>#2,394.32+ 3.668% of excess over $100,000</t>
  </si>
  <si>
    <t>Over $115,300</t>
  </si>
  <si>
    <t>$2,958.58 + 3.75% of excess over $115,300</t>
  </si>
  <si>
    <t>Divided by 12</t>
  </si>
  <si>
    <t>State income tax for a monthly budget</t>
  </si>
  <si>
    <t>Step 3:  ONLY IF OTHER STATE</t>
  </si>
  <si>
    <t>AGI from federal taxes</t>
  </si>
  <si>
    <t>Less: state standard deduction (if any)</t>
  </si>
  <si>
    <t>Less: state personal exemption (if any)</t>
  </si>
  <si>
    <t>State Taxable income</t>
  </si>
  <si>
    <t>State income tax per calculations</t>
  </si>
  <si>
    <t>State income tax for monthly budget</t>
  </si>
  <si>
    <t>https://taxfoundation.org/publications/state-individual-income-tax-rates-and-brackets/</t>
  </si>
  <si>
    <t>Paste the Brackets and Rates here</t>
  </si>
  <si>
    <t>Income Layer</t>
  </si>
  <si>
    <t>Tax on layer</t>
  </si>
  <si>
    <t>EXAMPLE:   Assume $60,000 of state taxable income (cell J29) and the following tax brackets</t>
  </si>
  <si>
    <t>&gt;</t>
  </si>
  <si>
    <t>SELF-EMPLOYED? (yes or no)</t>
  </si>
  <si>
    <t>Type of Plan or Average</t>
  </si>
  <si>
    <t>Annual cost</t>
  </si>
  <si>
    <t>Amount for monthly budget</t>
  </si>
  <si>
    <t>My parents will keep paying</t>
  </si>
  <si>
    <t>Link to information:</t>
  </si>
  <si>
    <t>https://www.kff.org/health-costs/report/2022-employer-health-benefits-survey/</t>
  </si>
  <si>
    <t>MONTHLY INCOME SUMMARY</t>
  </si>
  <si>
    <t>MONTHLY</t>
  </si>
  <si>
    <t>Monthly Income:</t>
  </si>
  <si>
    <t>Salary and Wages (From Tab 2)</t>
  </si>
  <si>
    <t>Interest/Dividends (From Tab 2 if any)</t>
  </si>
  <si>
    <t>Other income (from Tab 2, specify)</t>
  </si>
  <si>
    <t>Total Monthly Gross Income</t>
  </si>
  <si>
    <t>Retirement Contributions: (From Tab 5)</t>
  </si>
  <si>
    <t>Traditional 401(k)</t>
  </si>
  <si>
    <t>ROTH 401(k)</t>
  </si>
  <si>
    <t>Traditional IRA</t>
  </si>
  <si>
    <t>ROTH IRA</t>
  </si>
  <si>
    <t>Total Retirement Savings</t>
  </si>
  <si>
    <t>Deductions:</t>
  </si>
  <si>
    <t>Health Insurance (From Tab 8)</t>
  </si>
  <si>
    <t>Taxes:</t>
  </si>
  <si>
    <t>FICA (From Tab 3)</t>
  </si>
  <si>
    <t>Local Income Tax (From Tab 4)</t>
  </si>
  <si>
    <t>State Income Tax (From Tab 7)</t>
  </si>
  <si>
    <t>Federal Income Tax (From Tab 6)</t>
  </si>
  <si>
    <t>Total Taxes</t>
  </si>
  <si>
    <t>Summary - Monthly Cash Flows</t>
  </si>
  <si>
    <t>Gross Monthly Income</t>
  </si>
  <si>
    <t>After Tax Monthly Income</t>
  </si>
  <si>
    <t>After Taxes, Deductions, and Retirement Savings Cash Flow</t>
  </si>
  <si>
    <t>Worksheet</t>
  </si>
  <si>
    <t>Points</t>
  </si>
  <si>
    <t>1. Goals</t>
  </si>
  <si>
    <t xml:space="preserve">Short term goals </t>
  </si>
  <si>
    <t xml:space="preserve">Midrange goals </t>
  </si>
  <si>
    <t xml:space="preserve">Long term goals </t>
  </si>
  <si>
    <t>Spelling, grammar, punctuation</t>
  </si>
  <si>
    <t>2. Income</t>
  </si>
  <si>
    <t xml:space="preserve">Position/job </t>
  </si>
  <si>
    <t>City/state</t>
  </si>
  <si>
    <t>Source</t>
  </si>
  <si>
    <t>Salary (reasonable)</t>
  </si>
  <si>
    <t>Other income, if any, explained</t>
  </si>
  <si>
    <t>Formula for monthly amount</t>
  </si>
  <si>
    <t>Agrees to monthly budget (cell reference)</t>
  </si>
  <si>
    <t>3. FICA</t>
  </si>
  <si>
    <t>Salary cell referenced</t>
  </si>
  <si>
    <t>Calculation of FICA tax</t>
  </si>
  <si>
    <t>4. Local income tax</t>
  </si>
  <si>
    <t>Correct about having a local tax?</t>
  </si>
  <si>
    <t>Correct calculation</t>
  </si>
  <si>
    <t>5. Retirement contributions</t>
  </si>
  <si>
    <t>Calculation of 10% and 15% guidelines</t>
  </si>
  <si>
    <t>Agrees to monthly budget (401k)</t>
  </si>
  <si>
    <t>Agrees to monthly budget (Roth)</t>
  </si>
  <si>
    <t>Agrees to monthly budget (IRA)</t>
  </si>
  <si>
    <t>6. Federal income tax</t>
  </si>
  <si>
    <t>Cell reference income</t>
  </si>
  <si>
    <t>Cell reference 401k (if any)</t>
  </si>
  <si>
    <t>Cell reference IRA (if any)</t>
  </si>
  <si>
    <t>Calculation of student loan interest (if any)</t>
  </si>
  <si>
    <t>Cell reference sturdent loan interest (if any)</t>
  </si>
  <si>
    <t>Taxable income formula</t>
  </si>
  <si>
    <t>Income tax calculation correct</t>
  </si>
  <si>
    <t>7. State income tax</t>
  </si>
  <si>
    <t>Step 1 completed correctly?</t>
  </si>
  <si>
    <t>Step 2 or 3 completed and correct</t>
  </si>
  <si>
    <t>8. Health insurance</t>
  </si>
  <si>
    <t>Plan selected</t>
  </si>
  <si>
    <t>Yearly amount correct</t>
  </si>
  <si>
    <t>Monthly amount correct</t>
  </si>
  <si>
    <t>Agrees to budget (cell reference)</t>
  </si>
  <si>
    <t>9.  Monthly budget directions and resources</t>
  </si>
  <si>
    <t>10. Monthly budget</t>
  </si>
  <si>
    <t>Reasonable estimates</t>
  </si>
  <si>
    <t>Cell references to earlier calculations</t>
  </si>
  <si>
    <t>11. Reflection</t>
  </si>
  <si>
    <t>Content</t>
  </si>
  <si>
    <t>Grammar, spelling, punctuation</t>
  </si>
  <si>
    <t>Chemical Engineer</t>
  </si>
  <si>
    <t>Cleveland</t>
  </si>
  <si>
    <t>Ohio</t>
  </si>
  <si>
    <t>payscale.com</t>
  </si>
  <si>
    <t>yes</t>
  </si>
  <si>
    <t>from life app</t>
  </si>
  <si>
    <t>n/a</t>
  </si>
  <si>
    <t>Yes</t>
  </si>
  <si>
    <t>no</t>
  </si>
  <si>
    <t>All (Average)</t>
  </si>
  <si>
    <t>Parents coverage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</si>
</sst>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6" formatCode="&quot;$&quot;#,##0_);[Red]\(&quot;$&quot;#,##0\)"/>
    <numFmt numFmtId="8" formatCode="&quot;$&quot;#,##0.00_);[Red]\(&quot;$&quot;#,##0.00\)"/>
    <numFmt numFmtId="42" formatCode="_(&quot;$&quot;* #,##0_);_(&quot;$&quot;* \(#,##0\);_(&quot;$&quot;* &quot;-&quot;_);_(@_)"/>
    <numFmt numFmtId="44" formatCode="_(&quot;$&quot;* #,##0.00_);_(&quot;$&quot;* \(#,##0.00\);_(&quot;$&quot;* &quot;-&quot;??_);_(@_)"/>
    <numFmt numFmtId="164" formatCode="_(&quot;$&quot;* #,##0_);_(&quot;$&quot;* \(#,##0\);_(&quot;$&quot;* &quot;-&quot;??_);_(@_)"/>
    <numFmt numFmtId="165" formatCode="&quot;$&quot;#,##0"/>
    <numFmt numFmtId="170" formatCode="0.0%"/>
  </numFmts>
  <fonts count="21" x14ac:knownFonts="1">
    <font>
      <sz val="11"/>
      <color theme="1"/>
      <name val="Calibri"/>
      <scheme val="minor"/>
    </font>
    <font>
      <sz val="11"/>
      <color theme="1"/>
      <name val="Calibri"/>
      <family val="2"/>
      <scheme val="minor"/>
    </font>
    <font>
      <sz val="11"/>
      <color theme="1"/>
      <name val="Calibri"/>
      <family val="2"/>
    </font>
    <font>
      <u/>
      <sz val="11"/>
      <color theme="10"/>
      <name val="Calibri"/>
      <family val="2"/>
    </font>
    <font>
      <b/>
      <sz val="12"/>
      <color theme="1"/>
      <name val="Calibri"/>
      <family val="2"/>
    </font>
    <font>
      <u/>
      <sz val="11"/>
      <color theme="1"/>
      <name val="Calibri"/>
      <family val="2"/>
    </font>
    <font>
      <b/>
      <sz val="11"/>
      <color theme="1"/>
      <name val="Calibri"/>
      <family val="2"/>
    </font>
    <font>
      <b/>
      <u/>
      <sz val="11"/>
      <color theme="1"/>
      <name val="Calibri"/>
      <family val="2"/>
    </font>
    <font>
      <b/>
      <u/>
      <sz val="11"/>
      <color theme="1"/>
      <name val="Calibri"/>
      <family val="2"/>
    </font>
    <font>
      <b/>
      <u/>
      <sz val="11"/>
      <color theme="1"/>
      <name val="Calibri"/>
      <family val="2"/>
    </font>
    <font>
      <sz val="11"/>
      <color rgb="FFFFC000"/>
      <name val="Calibri"/>
      <family val="2"/>
    </font>
    <font>
      <b/>
      <u/>
      <sz val="11"/>
      <color theme="1"/>
      <name val="Calibri"/>
      <family val="2"/>
    </font>
    <font>
      <b/>
      <sz val="10"/>
      <color rgb="FF000000"/>
      <name val="Times New Roman"/>
      <family val="1"/>
    </font>
    <font>
      <sz val="10"/>
      <color rgb="FF000000"/>
      <name val="Verdana"/>
      <family val="2"/>
    </font>
    <font>
      <b/>
      <u/>
      <sz val="11"/>
      <color theme="1"/>
      <name val="Calibri"/>
      <family val="2"/>
    </font>
    <font>
      <sz val="11"/>
      <name val="Calibri"/>
      <family val="2"/>
    </font>
    <font>
      <b/>
      <u/>
      <sz val="11"/>
      <color theme="1"/>
      <name val="Calibri"/>
      <family val="2"/>
    </font>
    <font>
      <sz val="10"/>
      <color theme="1"/>
      <name val="Lato"/>
    </font>
    <font>
      <sz val="10"/>
      <color rgb="FF000000"/>
      <name val="Lato"/>
    </font>
    <font>
      <sz val="11"/>
      <color theme="1"/>
      <name val="Calibri"/>
      <family val="2"/>
      <scheme val="minor"/>
    </font>
    <font>
      <sz val="11"/>
      <color theme="1"/>
      <name val="Calibri"/>
      <scheme val="minor"/>
    </font>
  </fonts>
  <fills count="7">
    <fill>
      <patternFill patternType="none"/>
    </fill>
    <fill>
      <patternFill patternType="gray125"/>
    </fill>
    <fill>
      <patternFill patternType="solid">
        <fgColor rgb="FFE2EFD9"/>
        <bgColor rgb="FFE2EFD9"/>
      </patternFill>
    </fill>
    <fill>
      <patternFill patternType="solid">
        <fgColor rgb="FFFFFF00"/>
        <bgColor rgb="FFFFFF00"/>
      </patternFill>
    </fill>
    <fill>
      <patternFill patternType="solid">
        <fgColor rgb="FFFFC000"/>
        <bgColor rgb="FFFFC000"/>
      </patternFill>
    </fill>
    <fill>
      <patternFill patternType="solid">
        <fgColor rgb="FFDEEAF6"/>
        <bgColor rgb="FFDEEAF6"/>
      </patternFill>
    </fill>
    <fill>
      <patternFill patternType="solid">
        <fgColor rgb="FFC5E0B3"/>
        <bgColor rgb="FFC5E0B3"/>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double">
        <color rgb="FF000000"/>
      </bottom>
      <diagonal/>
    </border>
    <border>
      <left style="thin">
        <color rgb="FF000000"/>
      </left>
      <right style="thin">
        <color rgb="FF000000"/>
      </right>
      <top/>
      <bottom style="thin">
        <color rgb="FF000000"/>
      </bottom>
      <diagonal/>
    </border>
    <border>
      <left/>
      <right/>
      <top/>
      <bottom/>
      <diagonal/>
    </border>
    <border>
      <left/>
      <right/>
      <top/>
      <bottom style="thin">
        <color rgb="FF000000"/>
      </bottom>
      <diagonal/>
    </border>
    <border>
      <left/>
      <right/>
      <top/>
      <bottom/>
      <diagonal/>
    </border>
    <border>
      <left/>
      <right/>
      <top/>
      <bottom/>
      <diagonal/>
    </border>
    <border>
      <left/>
      <right/>
      <top/>
      <bottom/>
      <diagonal/>
    </border>
    <border>
      <left style="medium">
        <color rgb="FFD9D9D9"/>
      </left>
      <right/>
      <top/>
      <bottom/>
      <diagonal/>
    </border>
    <border>
      <left/>
      <right/>
      <top style="thin">
        <color rgb="FF000000"/>
      </top>
      <bottom style="double">
        <color rgb="FF000000"/>
      </bottom>
      <diagonal/>
    </border>
    <border>
      <left/>
      <right/>
      <top/>
      <bottom style="thin">
        <color rgb="FF000000"/>
      </bottom>
      <diagonal/>
    </border>
  </borders>
  <cellStyleXfs count="2">
    <xf numFmtId="0" fontId="0" fillId="0" borderId="0"/>
    <xf numFmtId="9" fontId="20" fillId="0" borderId="0" applyFont="0" applyFill="0" applyBorder="0" applyAlignment="0" applyProtection="0"/>
  </cellStyleXfs>
  <cellXfs count="67">
    <xf numFmtId="0" fontId="0" fillId="0" borderId="0" xfId="0"/>
    <xf numFmtId="0" fontId="2" fillId="2" borderId="1" xfId="0" applyFont="1" applyFill="1" applyBorder="1"/>
    <xf numFmtId="0" fontId="2" fillId="3" borderId="1" xfId="0" applyFont="1" applyFill="1" applyBorder="1"/>
    <xf numFmtId="42" fontId="2" fillId="3" borderId="1" xfId="0" applyNumberFormat="1" applyFont="1" applyFill="1" applyBorder="1"/>
    <xf numFmtId="0" fontId="2" fillId="4" borderId="1" xfId="0" applyFont="1" applyFill="1" applyBorder="1"/>
    <xf numFmtId="0" fontId="3" fillId="0" borderId="0" xfId="0" applyFont="1"/>
    <xf numFmtId="0" fontId="4" fillId="2" borderId="1" xfId="0" applyFont="1" applyFill="1" applyBorder="1"/>
    <xf numFmtId="10" fontId="2" fillId="2" borderId="1" xfId="0" applyNumberFormat="1" applyFont="1" applyFill="1" applyBorder="1"/>
    <xf numFmtId="42" fontId="2" fillId="4" borderId="2" xfId="0" applyNumberFormat="1" applyFont="1" applyFill="1" applyBorder="1"/>
    <xf numFmtId="0" fontId="2" fillId="2" borderId="3" xfId="0" applyFont="1" applyFill="1" applyBorder="1"/>
    <xf numFmtId="42" fontId="2" fillId="4" borderId="1" xfId="0" applyNumberFormat="1" applyFont="1" applyFill="1" applyBorder="1"/>
    <xf numFmtId="42" fontId="2" fillId="2" borderId="1" xfId="0" applyNumberFormat="1" applyFont="1" applyFill="1" applyBorder="1"/>
    <xf numFmtId="44" fontId="2" fillId="4" borderId="4" xfId="0" applyNumberFormat="1" applyFont="1" applyFill="1" applyBorder="1"/>
    <xf numFmtId="0" fontId="5" fillId="2" borderId="1" xfId="0" applyFont="1" applyFill="1" applyBorder="1" applyAlignment="1">
      <alignment horizontal="center"/>
    </xf>
    <xf numFmtId="0" fontId="2" fillId="5" borderId="1" xfId="0" applyFont="1" applyFill="1" applyBorder="1"/>
    <xf numFmtId="164" fontId="2" fillId="5" borderId="1" xfId="0" applyNumberFormat="1" applyFont="1" applyFill="1" applyBorder="1"/>
    <xf numFmtId="0" fontId="2" fillId="2" borderId="1" xfId="0" quotePrefix="1" applyFont="1" applyFill="1" applyBorder="1" applyAlignment="1">
      <alignment horizontal="left"/>
    </xf>
    <xf numFmtId="0" fontId="2" fillId="6" borderId="1" xfId="0" applyFont="1" applyFill="1" applyBorder="1"/>
    <xf numFmtId="0" fontId="6" fillId="0" borderId="0" xfId="0" applyFont="1"/>
    <xf numFmtId="0" fontId="7" fillId="2" borderId="1" xfId="0" applyFont="1" applyFill="1" applyBorder="1"/>
    <xf numFmtId="9" fontId="2" fillId="2" borderId="1" xfId="0" applyNumberFormat="1" applyFont="1" applyFill="1" applyBorder="1"/>
    <xf numFmtId="0" fontId="2" fillId="2" borderId="1" xfId="0" applyFont="1" applyFill="1" applyBorder="1" applyAlignment="1">
      <alignment horizontal="left"/>
    </xf>
    <xf numFmtId="0" fontId="8" fillId="2" borderId="1" xfId="0" applyFont="1" applyFill="1" applyBorder="1" applyAlignment="1">
      <alignment horizontal="left"/>
    </xf>
    <xf numFmtId="0" fontId="9" fillId="0" borderId="0" xfId="0" applyFont="1" applyAlignment="1">
      <alignment horizontal="center"/>
    </xf>
    <xf numFmtId="0" fontId="6" fillId="2" borderId="1" xfId="0" applyFont="1" applyFill="1" applyBorder="1"/>
    <xf numFmtId="0" fontId="6" fillId="2" borderId="1" xfId="0" applyFont="1" applyFill="1" applyBorder="1" applyAlignment="1">
      <alignment vertical="center" wrapText="1"/>
    </xf>
    <xf numFmtId="0" fontId="2" fillId="2" borderId="1" xfId="0" applyFont="1" applyFill="1" applyBorder="1" applyAlignment="1">
      <alignment vertical="center" wrapText="1"/>
    </xf>
    <xf numFmtId="0" fontId="2" fillId="4" borderId="1" xfId="0" applyFont="1" applyFill="1" applyBorder="1" applyAlignment="1">
      <alignment vertical="center" wrapText="1"/>
    </xf>
    <xf numFmtId="0" fontId="2" fillId="2" borderId="1" xfId="0" applyFont="1" applyFill="1" applyBorder="1" applyAlignment="1">
      <alignment vertical="center"/>
    </xf>
    <xf numFmtId="0" fontId="2" fillId="2" borderId="1" xfId="0" quotePrefix="1" applyFont="1" applyFill="1" applyBorder="1" applyAlignment="1">
      <alignment vertical="center" wrapText="1"/>
    </xf>
    <xf numFmtId="0" fontId="10" fillId="4" borderId="1" xfId="0" applyFont="1" applyFill="1" applyBorder="1"/>
    <xf numFmtId="0" fontId="2" fillId="0" borderId="0" xfId="0" applyFont="1"/>
    <xf numFmtId="9" fontId="2" fillId="3" borderId="1" xfId="0" applyNumberFormat="1" applyFont="1" applyFill="1" applyBorder="1"/>
    <xf numFmtId="0" fontId="11" fillId="0" borderId="0" xfId="0" applyFont="1"/>
    <xf numFmtId="0" fontId="12" fillId="2" borderId="1" xfId="0" applyFont="1" applyFill="1" applyBorder="1" applyAlignment="1">
      <alignment vertical="center" wrapText="1"/>
    </xf>
    <xf numFmtId="10" fontId="2" fillId="2" borderId="1" xfId="0" applyNumberFormat="1" applyFont="1" applyFill="1" applyBorder="1" applyAlignment="1">
      <alignment horizontal="left" vertical="center" wrapText="1"/>
    </xf>
    <xf numFmtId="0" fontId="13" fillId="4" borderId="1" xfId="0" applyFont="1" applyFill="1" applyBorder="1" applyAlignment="1">
      <alignment vertical="center" wrapText="1"/>
    </xf>
    <xf numFmtId="0" fontId="6" fillId="0" borderId="5" xfId="0" applyFont="1" applyBorder="1"/>
    <xf numFmtId="0" fontId="16" fillId="4" borderId="4" xfId="0" applyFont="1" applyFill="1" applyBorder="1"/>
    <xf numFmtId="10" fontId="17" fillId="0" borderId="9" xfId="0" applyNumberFormat="1" applyFont="1" applyBorder="1" applyAlignment="1">
      <alignment horizontal="right"/>
    </xf>
    <xf numFmtId="0" fontId="17" fillId="0" borderId="0" xfId="0" applyFont="1" applyAlignment="1">
      <alignment horizontal="center"/>
    </xf>
    <xf numFmtId="165" fontId="17" fillId="0" borderId="0" xfId="0" applyNumberFormat="1" applyFont="1" applyAlignment="1">
      <alignment horizontal="right"/>
    </xf>
    <xf numFmtId="165" fontId="2" fillId="0" borderId="0" xfId="0" applyNumberFormat="1" applyFont="1"/>
    <xf numFmtId="165" fontId="2" fillId="0" borderId="5" xfId="0" applyNumberFormat="1" applyFont="1" applyBorder="1"/>
    <xf numFmtId="165" fontId="2" fillId="0" borderId="10" xfId="0" applyNumberFormat="1" applyFont="1" applyBorder="1"/>
    <xf numFmtId="10" fontId="18" fillId="0" borderId="9" xfId="0" applyNumberFormat="1" applyFont="1" applyBorder="1" applyAlignment="1">
      <alignment horizontal="right"/>
    </xf>
    <xf numFmtId="0" fontId="2" fillId="2" borderId="1" xfId="0" quotePrefix="1" applyFont="1" applyFill="1" applyBorder="1" applyAlignment="1">
      <alignment horizontal="center"/>
    </xf>
    <xf numFmtId="0" fontId="2" fillId="4" borderId="4" xfId="0" applyFont="1" applyFill="1" applyBorder="1"/>
    <xf numFmtId="0" fontId="19" fillId="0" borderId="0" xfId="0" applyFont="1"/>
    <xf numFmtId="0" fontId="2" fillId="4" borderId="11" xfId="0" applyFont="1" applyFill="1" applyBorder="1"/>
    <xf numFmtId="0" fontId="6" fillId="0" borderId="0" xfId="0" applyFont="1" applyAlignment="1">
      <alignment horizontal="left"/>
    </xf>
    <xf numFmtId="0" fontId="2" fillId="0" borderId="0" xfId="0" applyFont="1" applyAlignment="1">
      <alignment horizontal="left"/>
    </xf>
    <xf numFmtId="0" fontId="2" fillId="0" borderId="10" xfId="0" applyFont="1" applyBorder="1"/>
    <xf numFmtId="0" fontId="14" fillId="3" borderId="6" xfId="0" applyFont="1" applyFill="1" applyBorder="1" applyAlignment="1">
      <alignment horizontal="center"/>
    </xf>
    <xf numFmtId="0" fontId="15" fillId="0" borderId="7" xfId="0" applyFont="1" applyBorder="1"/>
    <xf numFmtId="0" fontId="15" fillId="0" borderId="8" xfId="0" applyFont="1" applyBorder="1"/>
    <xf numFmtId="6" fontId="2" fillId="3" borderId="1" xfId="0" applyNumberFormat="1" applyFont="1" applyFill="1" applyBorder="1"/>
    <xf numFmtId="6" fontId="2" fillId="4" borderId="1" xfId="0" applyNumberFormat="1" applyFont="1" applyFill="1" applyBorder="1"/>
    <xf numFmtId="8" fontId="2" fillId="4" borderId="1" xfId="0" applyNumberFormat="1" applyFont="1" applyFill="1" applyBorder="1"/>
    <xf numFmtId="170" fontId="2" fillId="3" borderId="1" xfId="1" applyNumberFormat="1" applyFont="1" applyFill="1" applyBorder="1"/>
    <xf numFmtId="44" fontId="2" fillId="4" borderId="1" xfId="0" applyNumberFormat="1" applyFont="1" applyFill="1" applyBorder="1"/>
    <xf numFmtId="0" fontId="1" fillId="0" borderId="0" xfId="0" applyFont="1"/>
    <xf numFmtId="44" fontId="2" fillId="4" borderId="1" xfId="0" applyNumberFormat="1" applyFont="1" applyFill="1" applyBorder="1" applyAlignment="1">
      <alignment vertical="center" wrapText="1"/>
    </xf>
    <xf numFmtId="42" fontId="12" fillId="4" borderId="1" xfId="0" applyNumberFormat="1" applyFont="1" applyFill="1" applyBorder="1" applyAlignment="1">
      <alignment vertical="center" wrapText="1"/>
    </xf>
    <xf numFmtId="44" fontId="13" fillId="4" borderId="1" xfId="0" applyNumberFormat="1" applyFont="1" applyFill="1" applyBorder="1" applyAlignment="1">
      <alignment vertical="center" wrapText="1"/>
    </xf>
    <xf numFmtId="8" fontId="2" fillId="4" borderId="4" xfId="0" applyNumberFormat="1" applyFont="1" applyFill="1" applyBorder="1"/>
    <xf numFmtId="44" fontId="2" fillId="4" borderId="11" xfId="0" applyNumberFormat="1" applyFont="1" applyFill="1" applyBorder="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customschemas.google.com/relationships/workbookmetadata" Target="metadata"/></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438150</xdr:colOff>
      <xdr:row>1</xdr:row>
      <xdr:rowOff>66675</xdr:rowOff>
    </xdr:from>
    <xdr:ext cx="7467600" cy="3695700"/>
    <xdr:sp macro="" textlink="">
      <xdr:nvSpPr>
        <xdr:cNvPr id="3" name="Shape 3">
          <a:extLst>
            <a:ext uri="{FF2B5EF4-FFF2-40B4-BE49-F238E27FC236}">
              <a16:creationId xmlns:a16="http://schemas.microsoft.com/office/drawing/2014/main" id="{00000000-0008-0000-0000-000003000000}"/>
            </a:ext>
          </a:extLst>
        </xdr:cNvPr>
        <xdr:cNvSpPr txBox="1"/>
      </xdr:nvSpPr>
      <xdr:spPr>
        <a:xfrm>
          <a:off x="1616963" y="1936913"/>
          <a:ext cx="7458075" cy="3686175"/>
        </a:xfrm>
        <a:prstGeom prst="rect">
          <a:avLst/>
        </a:prstGeom>
        <a:solidFill>
          <a:srgbClr val="DDEAF6"/>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800" u="sng">
              <a:solidFill>
                <a:schemeClr val="dk1"/>
              </a:solidFill>
              <a:latin typeface="Calibri"/>
              <a:ea typeface="Calibri"/>
              <a:cs typeface="Calibri"/>
              <a:sym typeface="Calibri"/>
            </a:rPr>
            <a:t>DIRECTIONS AND PROJECT OVERVIEW</a:t>
          </a:r>
          <a:endParaRPr sz="1800" u="sng">
            <a:solidFill>
              <a:schemeClr val="dk1"/>
            </a:solidFill>
            <a:latin typeface="Calibri"/>
            <a:ea typeface="Calibri"/>
            <a:cs typeface="Calibri"/>
            <a:sym typeface="Calibri"/>
          </a:endParaRPr>
        </a:p>
        <a:p>
          <a:pPr marL="0" lvl="0" indent="0" algn="l" rtl="0">
            <a:spcBef>
              <a:spcPts val="0"/>
            </a:spcBef>
            <a:spcAft>
              <a:spcPts val="0"/>
            </a:spcAft>
            <a:buNone/>
          </a:pPr>
          <a:endParaRPr sz="1200">
            <a:solidFill>
              <a:schemeClr val="dk1"/>
            </a:solidFill>
            <a:latin typeface="Calibri"/>
            <a:ea typeface="Calibri"/>
            <a:cs typeface="Calibri"/>
            <a:sym typeface="Calibri"/>
          </a:endParaRPr>
        </a:p>
        <a:p>
          <a:pPr marL="342900" marR="0" lvl="0" indent="-342900" algn="l" rtl="0">
            <a:lnSpc>
              <a:spcPct val="115000"/>
            </a:lnSpc>
            <a:spcBef>
              <a:spcPts val="0"/>
            </a:spcBef>
            <a:spcAft>
              <a:spcPts val="0"/>
            </a:spcAft>
            <a:buSzPts val="1200"/>
            <a:buFont typeface="Calibri"/>
            <a:buAutoNum type="arabicParenR"/>
          </a:pPr>
          <a:r>
            <a:rPr lang="en-US" sz="1200">
              <a:solidFill>
                <a:schemeClr val="dk1"/>
              </a:solidFill>
              <a:latin typeface="Calibri"/>
              <a:ea typeface="Calibri"/>
              <a:cs typeface="Calibri"/>
              <a:sym typeface="Calibri"/>
            </a:rPr>
            <a:t>The Goal of this activity is to understand the impact taxes have on your personal budget.  </a:t>
          </a:r>
          <a:endParaRPr sz="1400"/>
        </a:p>
        <a:p>
          <a:pPr marL="342900" marR="0" lvl="0" indent="-342900" algn="l" rtl="0">
            <a:lnSpc>
              <a:spcPct val="115000"/>
            </a:lnSpc>
            <a:spcBef>
              <a:spcPts val="1000"/>
            </a:spcBef>
            <a:spcAft>
              <a:spcPts val="0"/>
            </a:spcAft>
            <a:buSzPts val="1200"/>
            <a:buFont typeface="Calibri"/>
            <a:buAutoNum type="arabicParenR"/>
          </a:pPr>
          <a:r>
            <a:rPr lang="en-US" sz="1200">
              <a:solidFill>
                <a:schemeClr val="dk1"/>
              </a:solidFill>
              <a:latin typeface="Calibri"/>
              <a:ea typeface="Calibri"/>
              <a:cs typeface="Calibri"/>
              <a:sym typeface="Calibri"/>
            </a:rPr>
            <a:t>Project your Income</a:t>
          </a:r>
          <a:endParaRPr sz="1200">
            <a:latin typeface="Calibri"/>
            <a:ea typeface="Calibri"/>
            <a:cs typeface="Calibri"/>
            <a:sym typeface="Calibri"/>
          </a:endParaRPr>
        </a:p>
        <a:p>
          <a:pPr marL="342900" marR="0" lvl="0" indent="-342900" algn="l" rtl="0">
            <a:lnSpc>
              <a:spcPct val="115000"/>
            </a:lnSpc>
            <a:spcBef>
              <a:spcPts val="1000"/>
            </a:spcBef>
            <a:spcAft>
              <a:spcPts val="0"/>
            </a:spcAft>
            <a:buSzPts val="1200"/>
            <a:buFont typeface="Calibri"/>
            <a:buAutoNum type="arabicParenR"/>
          </a:pPr>
          <a:r>
            <a:rPr lang="en-US" sz="1200">
              <a:solidFill>
                <a:schemeClr val="dk1"/>
              </a:solidFill>
              <a:latin typeface="Calibri"/>
              <a:ea typeface="Calibri"/>
              <a:cs typeface="Calibri"/>
              <a:sym typeface="Calibri"/>
            </a:rPr>
            <a:t>Determine your FICA tax</a:t>
          </a:r>
          <a:endParaRPr sz="1200">
            <a:latin typeface="Calibri"/>
            <a:ea typeface="Calibri"/>
            <a:cs typeface="Calibri"/>
            <a:sym typeface="Calibri"/>
          </a:endParaRPr>
        </a:p>
        <a:p>
          <a:pPr marL="342900" marR="0" lvl="0" indent="-342900" algn="l" rtl="0">
            <a:lnSpc>
              <a:spcPct val="115000"/>
            </a:lnSpc>
            <a:spcBef>
              <a:spcPts val="1000"/>
            </a:spcBef>
            <a:spcAft>
              <a:spcPts val="0"/>
            </a:spcAft>
            <a:buSzPts val="1200"/>
            <a:buFont typeface="Calibri"/>
            <a:buAutoNum type="arabicParenR"/>
          </a:pPr>
          <a:r>
            <a:rPr lang="en-US" sz="1200">
              <a:solidFill>
                <a:schemeClr val="dk1"/>
              </a:solidFill>
              <a:latin typeface="Calibri"/>
              <a:ea typeface="Calibri"/>
              <a:cs typeface="Calibri"/>
              <a:sym typeface="Calibri"/>
            </a:rPr>
            <a:t>Estimate your Local Income Tax.</a:t>
          </a:r>
          <a:endParaRPr sz="1400"/>
        </a:p>
        <a:p>
          <a:pPr marL="342900" marR="0" lvl="0" indent="-342900" algn="l" rtl="0">
            <a:lnSpc>
              <a:spcPct val="115000"/>
            </a:lnSpc>
            <a:spcBef>
              <a:spcPts val="1000"/>
            </a:spcBef>
            <a:spcAft>
              <a:spcPts val="0"/>
            </a:spcAft>
            <a:buSzPts val="1200"/>
            <a:buFont typeface="Calibri"/>
            <a:buAutoNum type="arabicParenR"/>
          </a:pPr>
          <a:r>
            <a:rPr lang="en-US" sz="1200">
              <a:solidFill>
                <a:schemeClr val="dk1"/>
              </a:solidFill>
              <a:latin typeface="Calibri"/>
              <a:ea typeface="Calibri"/>
              <a:cs typeface="Calibri"/>
              <a:sym typeface="Calibri"/>
            </a:rPr>
            <a:t>Tax Effects on Contributing to Retirement Plans</a:t>
          </a:r>
          <a:endParaRPr sz="1400"/>
        </a:p>
        <a:p>
          <a:pPr marL="342900" marR="0" lvl="0" indent="-342900" algn="l" rtl="0">
            <a:lnSpc>
              <a:spcPct val="115000"/>
            </a:lnSpc>
            <a:spcBef>
              <a:spcPts val="1000"/>
            </a:spcBef>
            <a:spcAft>
              <a:spcPts val="0"/>
            </a:spcAft>
            <a:buSzPts val="1200"/>
            <a:buFont typeface="Calibri"/>
            <a:buAutoNum type="arabicParenR"/>
          </a:pPr>
          <a:r>
            <a:rPr lang="en-US" sz="1200">
              <a:solidFill>
                <a:schemeClr val="dk1"/>
              </a:solidFill>
              <a:latin typeface="Calibri"/>
              <a:ea typeface="Calibri"/>
              <a:cs typeface="Calibri"/>
              <a:sym typeface="Calibri"/>
            </a:rPr>
            <a:t>Federal Income Tax Estimates</a:t>
          </a:r>
          <a:endParaRPr sz="1400"/>
        </a:p>
        <a:p>
          <a:pPr marL="342900" marR="0" lvl="0" indent="-342900" algn="l" rtl="0">
            <a:lnSpc>
              <a:spcPct val="115000"/>
            </a:lnSpc>
            <a:spcBef>
              <a:spcPts val="1000"/>
            </a:spcBef>
            <a:spcAft>
              <a:spcPts val="0"/>
            </a:spcAft>
            <a:buSzPts val="1200"/>
            <a:buFont typeface="Calibri"/>
            <a:buAutoNum type="arabicParenR"/>
          </a:pPr>
          <a:r>
            <a:rPr lang="en-US" sz="1200">
              <a:solidFill>
                <a:schemeClr val="dk1"/>
              </a:solidFill>
              <a:latin typeface="Calibri"/>
              <a:ea typeface="Calibri"/>
              <a:cs typeface="Calibri"/>
              <a:sym typeface="Calibri"/>
            </a:rPr>
            <a:t>State Income Tax Estimates</a:t>
          </a:r>
          <a:endParaRPr sz="1400"/>
        </a:p>
        <a:p>
          <a:pPr marL="342900" marR="0" lvl="0" indent="-342900" algn="l" rtl="0">
            <a:lnSpc>
              <a:spcPct val="115000"/>
            </a:lnSpc>
            <a:spcBef>
              <a:spcPts val="1000"/>
            </a:spcBef>
            <a:spcAft>
              <a:spcPts val="0"/>
            </a:spcAft>
            <a:buSzPts val="1200"/>
            <a:buFont typeface="Calibri"/>
            <a:buAutoNum type="arabicParenR"/>
          </a:pPr>
          <a:r>
            <a:rPr lang="en-US" sz="1200">
              <a:solidFill>
                <a:schemeClr val="dk1"/>
              </a:solidFill>
              <a:latin typeface="Calibri"/>
              <a:ea typeface="Calibri"/>
              <a:cs typeface="Calibri"/>
              <a:sym typeface="Calibri"/>
            </a:rPr>
            <a:t>Tax Effects on Health Insurance</a:t>
          </a:r>
          <a:endParaRPr sz="1200">
            <a:latin typeface="Calibri"/>
            <a:ea typeface="Calibri"/>
            <a:cs typeface="Calibri"/>
            <a:sym typeface="Calibri"/>
          </a:endParaRPr>
        </a:p>
        <a:p>
          <a:pPr marL="0" lvl="0" indent="0" algn="l" rtl="0">
            <a:spcBef>
              <a:spcPts val="0"/>
            </a:spcBef>
            <a:spcAft>
              <a:spcPts val="0"/>
            </a:spcAft>
            <a:buNone/>
          </a:pPr>
          <a:endParaRPr sz="1200">
            <a:solidFill>
              <a:schemeClr val="dk1"/>
            </a:solidFill>
            <a:latin typeface="Calibri"/>
            <a:ea typeface="Calibri"/>
            <a:cs typeface="Calibri"/>
            <a:sym typeface="Calibri"/>
          </a:endParaRPr>
        </a:p>
        <a:p>
          <a:pPr marL="0" lvl="0" indent="0" algn="l" rtl="0">
            <a:spcBef>
              <a:spcPts val="0"/>
            </a:spcBef>
            <a:spcAft>
              <a:spcPts val="0"/>
            </a:spcAft>
            <a:buNone/>
          </a:pPr>
          <a:endParaRPr sz="1200"/>
        </a:p>
        <a:p>
          <a:pPr marL="0" lvl="0" indent="0" algn="l" rtl="0">
            <a:spcBef>
              <a:spcPts val="0"/>
            </a:spcBef>
            <a:spcAft>
              <a:spcPts val="0"/>
            </a:spcAft>
            <a:buNone/>
          </a:pPr>
          <a:endParaRPr sz="1100"/>
        </a:p>
      </xdr:txBody>
    </xdr:sp>
    <xdr:clientData fLocksWithSheet="0"/>
  </xdr:oneCellAnchor>
  <xdr:oneCellAnchor>
    <xdr:from>
      <xdr:col>14</xdr:col>
      <xdr:colOff>19050</xdr:colOff>
      <xdr:row>1</xdr:row>
      <xdr:rowOff>76200</xdr:rowOff>
    </xdr:from>
    <xdr:ext cx="4476750" cy="6943725"/>
    <xdr:sp macro="" textlink="">
      <xdr:nvSpPr>
        <xdr:cNvPr id="4" name="Shape 4">
          <a:extLst>
            <a:ext uri="{FF2B5EF4-FFF2-40B4-BE49-F238E27FC236}">
              <a16:creationId xmlns:a16="http://schemas.microsoft.com/office/drawing/2014/main" id="{00000000-0008-0000-0000-000004000000}"/>
            </a:ext>
          </a:extLst>
        </xdr:cNvPr>
        <xdr:cNvSpPr txBox="1"/>
      </xdr:nvSpPr>
      <xdr:spPr>
        <a:xfrm>
          <a:off x="3107625" y="308138"/>
          <a:ext cx="4476750" cy="6943725"/>
        </a:xfrm>
        <a:prstGeom prst="rect">
          <a:avLst/>
        </a:prstGeom>
        <a:solidFill>
          <a:srgbClr val="E1EFD8"/>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ctr" rtl="0">
            <a:spcBef>
              <a:spcPts val="0"/>
            </a:spcBef>
            <a:spcAft>
              <a:spcPts val="0"/>
            </a:spcAft>
            <a:buNone/>
          </a:pPr>
          <a:r>
            <a:rPr lang="en-US" sz="2000" b="0" i="0">
              <a:solidFill>
                <a:schemeClr val="dk1"/>
              </a:solidFill>
              <a:latin typeface="Calibri"/>
              <a:ea typeface="Calibri"/>
              <a:cs typeface="Calibri"/>
              <a:sym typeface="Calibri"/>
            </a:rPr>
            <a:t>Using Excel</a:t>
          </a:r>
          <a:endParaRPr sz="1400"/>
        </a:p>
        <a:p>
          <a:pPr marL="0" lvl="0" indent="0" algn="ctr" rtl="0">
            <a:spcBef>
              <a:spcPts val="0"/>
            </a:spcBef>
            <a:spcAft>
              <a:spcPts val="0"/>
            </a:spcAft>
            <a:buNone/>
          </a:pPr>
          <a:endParaRPr sz="2000" b="0" i="0">
            <a:solidFill>
              <a:schemeClr val="dk1"/>
            </a:solidFill>
            <a:latin typeface="Calibri"/>
            <a:ea typeface="Calibri"/>
            <a:cs typeface="Calibri"/>
            <a:sym typeface="Calibri"/>
          </a:endParaRPr>
        </a:p>
        <a:p>
          <a:pPr marL="0" lvl="0" indent="0" algn="l" rtl="0">
            <a:spcBef>
              <a:spcPts val="0"/>
            </a:spcBef>
            <a:spcAft>
              <a:spcPts val="0"/>
            </a:spcAft>
            <a:buNone/>
          </a:pPr>
          <a:r>
            <a:rPr lang="en-US" sz="1200" b="1" i="0">
              <a:solidFill>
                <a:schemeClr val="dk1"/>
              </a:solidFill>
              <a:latin typeface="Calibri"/>
              <a:ea typeface="Calibri"/>
              <a:cs typeface="Calibri"/>
              <a:sym typeface="Calibri"/>
            </a:rPr>
            <a:t>Use formulas and cell references whenever possible INSTEAD of typing in numbers or using your calculator.   </a:t>
          </a:r>
          <a:r>
            <a:rPr lang="en-US" sz="1200" b="0" i="0">
              <a:solidFill>
                <a:schemeClr val="dk1"/>
              </a:solidFill>
              <a:latin typeface="Calibri"/>
              <a:ea typeface="Calibri"/>
              <a:cs typeface="Calibri"/>
              <a:sym typeface="Calibri"/>
            </a:rPr>
            <a:t>This will help YOU if any earlier numbers are changed, and help ME as I review your budget.   For example, in the actual Budget (Tab 10) you'll need data from earlier worksheets.   </a:t>
          </a:r>
          <a:r>
            <a:rPr lang="en-US" sz="1200" b="1" i="0">
              <a:solidFill>
                <a:schemeClr val="dk1"/>
              </a:solidFill>
              <a:latin typeface="Calibri"/>
              <a:ea typeface="Calibri"/>
              <a:cs typeface="Calibri"/>
              <a:sym typeface="Calibri"/>
            </a:rPr>
            <a:t>Do not re-type the numbers that you calculated earlier.</a:t>
          </a:r>
          <a:r>
            <a:rPr lang="en-US" sz="1200" b="0" i="0">
              <a:solidFill>
                <a:schemeClr val="dk1"/>
              </a:solidFill>
              <a:latin typeface="Calibri"/>
              <a:ea typeface="Calibri"/>
              <a:cs typeface="Calibri"/>
              <a:sym typeface="Calibri"/>
            </a:rPr>
            <a:t>   </a:t>
          </a:r>
          <a:r>
            <a:rPr lang="en-US" sz="1200" b="1" i="0">
              <a:solidFill>
                <a:schemeClr val="dk1"/>
              </a:solidFill>
              <a:latin typeface="Calibri"/>
              <a:ea typeface="Calibri"/>
              <a:cs typeface="Calibri"/>
              <a:sym typeface="Calibri"/>
            </a:rPr>
            <a:t>Instead, use cell references.    </a:t>
          </a:r>
          <a:r>
            <a:rPr lang="en-US" sz="1200" b="0" i="0">
              <a:solidFill>
                <a:schemeClr val="dk1"/>
              </a:solidFill>
              <a:latin typeface="Calibri"/>
              <a:ea typeface="Calibri"/>
              <a:cs typeface="Calibri"/>
              <a:sym typeface="Calibri"/>
            </a:rPr>
            <a:t>If you are new to Excel, here are a few hints on how to use formulas and cell references:</a:t>
          </a:r>
          <a:endParaRPr sz="1200" b="0" i="0">
            <a:solidFill>
              <a:schemeClr val="dk1"/>
            </a:solidFill>
            <a:latin typeface="Calibri"/>
            <a:ea typeface="Calibri"/>
            <a:cs typeface="Calibri"/>
            <a:sym typeface="Calibri"/>
          </a:endParaRPr>
        </a:p>
        <a:p>
          <a:pPr marL="0" lvl="0" indent="0" algn="l" rtl="0">
            <a:spcBef>
              <a:spcPts val="0"/>
            </a:spcBef>
            <a:spcAft>
              <a:spcPts val="0"/>
            </a:spcAft>
            <a:buNone/>
          </a:pPr>
          <a:endParaRPr sz="1200" b="0" i="0">
            <a:solidFill>
              <a:schemeClr val="dk1"/>
            </a:solidFill>
            <a:latin typeface="Calibri"/>
            <a:ea typeface="Calibri"/>
            <a:cs typeface="Calibri"/>
            <a:sym typeface="Calibri"/>
          </a:endParaRPr>
        </a:p>
        <a:p>
          <a:pPr marL="0" lvl="0" indent="0" algn="l" rtl="0">
            <a:spcBef>
              <a:spcPts val="0"/>
            </a:spcBef>
            <a:spcAft>
              <a:spcPts val="0"/>
            </a:spcAft>
            <a:buNone/>
          </a:pPr>
          <a:r>
            <a:rPr lang="en-US" sz="1200" b="0" i="0">
              <a:solidFill>
                <a:schemeClr val="dk1"/>
              </a:solidFill>
              <a:latin typeface="Calibri"/>
              <a:ea typeface="Calibri"/>
              <a:cs typeface="Calibri"/>
              <a:sym typeface="Calibri"/>
            </a:rPr>
            <a:t>Start all formulas by typing an equal sign.</a:t>
          </a:r>
          <a:endParaRPr sz="1400"/>
        </a:p>
        <a:p>
          <a:pPr marL="0" lvl="0" indent="0" algn="l" rtl="0">
            <a:spcBef>
              <a:spcPts val="0"/>
            </a:spcBef>
            <a:spcAft>
              <a:spcPts val="0"/>
            </a:spcAft>
            <a:buNone/>
          </a:pPr>
          <a:r>
            <a:rPr lang="en-US" sz="1200" b="0" i="0">
              <a:solidFill>
                <a:schemeClr val="dk1"/>
              </a:solidFill>
              <a:latin typeface="Calibri"/>
              <a:ea typeface="Calibri"/>
              <a:cs typeface="Calibri"/>
              <a:sym typeface="Calibri"/>
            </a:rPr>
            <a:t>To add cells:   =B2+B6</a:t>
          </a:r>
          <a:endParaRPr sz="1400"/>
        </a:p>
        <a:p>
          <a:pPr marL="0" lvl="0" indent="0" algn="l" rtl="0">
            <a:spcBef>
              <a:spcPts val="0"/>
            </a:spcBef>
            <a:spcAft>
              <a:spcPts val="0"/>
            </a:spcAft>
            <a:buNone/>
          </a:pPr>
          <a:r>
            <a:rPr lang="en-US" sz="1200" b="0" i="0">
              <a:solidFill>
                <a:schemeClr val="dk1"/>
              </a:solidFill>
              <a:latin typeface="Calibri"/>
              <a:ea typeface="Calibri"/>
              <a:cs typeface="Calibri"/>
              <a:sym typeface="Calibri"/>
            </a:rPr>
            <a:t>To subtract cells:  =B2-B6</a:t>
          </a:r>
          <a:endParaRPr sz="1400"/>
        </a:p>
        <a:p>
          <a:pPr marL="0" lvl="0" indent="0" algn="l" rtl="0">
            <a:spcBef>
              <a:spcPts val="0"/>
            </a:spcBef>
            <a:spcAft>
              <a:spcPts val="0"/>
            </a:spcAft>
            <a:buNone/>
          </a:pPr>
          <a:r>
            <a:rPr lang="en-US" sz="1200" b="0" i="0">
              <a:solidFill>
                <a:schemeClr val="dk1"/>
              </a:solidFill>
              <a:latin typeface="Calibri"/>
              <a:ea typeface="Calibri"/>
              <a:cs typeface="Calibri"/>
              <a:sym typeface="Calibri"/>
            </a:rPr>
            <a:t>To multiply cells:  =B2*B6</a:t>
          </a:r>
          <a:endParaRPr sz="1400"/>
        </a:p>
        <a:p>
          <a:pPr marL="0" lvl="0" indent="0" algn="l" rtl="0">
            <a:spcBef>
              <a:spcPts val="0"/>
            </a:spcBef>
            <a:spcAft>
              <a:spcPts val="0"/>
            </a:spcAft>
            <a:buNone/>
          </a:pPr>
          <a:r>
            <a:rPr lang="en-US" sz="1200" b="0" i="0">
              <a:solidFill>
                <a:schemeClr val="dk1"/>
              </a:solidFill>
              <a:latin typeface="Calibri"/>
              <a:ea typeface="Calibri"/>
              <a:cs typeface="Calibri"/>
              <a:sym typeface="Calibri"/>
            </a:rPr>
            <a:t>To divide cells: =B2/B6</a:t>
          </a:r>
          <a:endParaRPr sz="1400"/>
        </a:p>
        <a:p>
          <a:pPr marL="0" lvl="0" indent="0" algn="l" rtl="0">
            <a:spcBef>
              <a:spcPts val="0"/>
            </a:spcBef>
            <a:spcAft>
              <a:spcPts val="0"/>
            </a:spcAft>
            <a:buNone/>
          </a:pPr>
          <a:endParaRPr sz="1200" b="0" i="0">
            <a:solidFill>
              <a:schemeClr val="dk1"/>
            </a:solidFill>
            <a:latin typeface="Calibri"/>
            <a:ea typeface="Calibri"/>
            <a:cs typeface="Calibri"/>
            <a:sym typeface="Calibri"/>
          </a:endParaRPr>
        </a:p>
        <a:p>
          <a:pPr marL="0" lvl="0" indent="0" algn="l" rtl="0">
            <a:spcBef>
              <a:spcPts val="0"/>
            </a:spcBef>
            <a:spcAft>
              <a:spcPts val="0"/>
            </a:spcAft>
            <a:buNone/>
          </a:pPr>
          <a:r>
            <a:rPr lang="en-US" sz="1200" b="1" i="0">
              <a:solidFill>
                <a:schemeClr val="dk1"/>
              </a:solidFill>
              <a:latin typeface="Calibri"/>
              <a:ea typeface="Calibri"/>
              <a:cs typeface="Calibri"/>
              <a:sym typeface="Calibri"/>
            </a:rPr>
            <a:t>To reference a cell from a different spot on the worksheet or on a different worksheet, simply click your cursor on the destination cell, type an equal sign (=), and then click your cursor on the original cell.   The contents of the original cell will then automatically populate the destination cell.</a:t>
          </a:r>
          <a:endParaRPr sz="1400"/>
        </a:p>
        <a:p>
          <a:pPr marL="0" lvl="0" indent="0" algn="l" rtl="0">
            <a:spcBef>
              <a:spcPts val="0"/>
            </a:spcBef>
            <a:spcAft>
              <a:spcPts val="0"/>
            </a:spcAft>
            <a:buNone/>
          </a:pPr>
          <a:endParaRPr sz="1200" b="1" i="0">
            <a:solidFill>
              <a:schemeClr val="dk1"/>
            </a:solidFill>
            <a:latin typeface="Calibri"/>
            <a:ea typeface="Calibri"/>
            <a:cs typeface="Calibri"/>
            <a:sym typeface="Calibri"/>
          </a:endParaRPr>
        </a:p>
        <a:p>
          <a:pPr marL="0" lvl="0" indent="0" algn="l" rtl="0">
            <a:spcBef>
              <a:spcPts val="0"/>
            </a:spcBef>
            <a:spcAft>
              <a:spcPts val="0"/>
            </a:spcAft>
            <a:buNone/>
          </a:pPr>
          <a:r>
            <a:rPr lang="en-US" sz="1200" b="0" i="0">
              <a:solidFill>
                <a:schemeClr val="dk1"/>
              </a:solidFill>
              <a:latin typeface="Calibri"/>
              <a:ea typeface="Calibri"/>
              <a:cs typeface="Calibri"/>
              <a:sym typeface="Calibri"/>
            </a:rPr>
            <a:t>To move between worksheets, click the tabs on the bottom of the screen.</a:t>
          </a:r>
          <a:endParaRPr sz="1400"/>
        </a:p>
        <a:p>
          <a:pPr marL="0" lvl="0" indent="0" algn="l" rtl="0">
            <a:spcBef>
              <a:spcPts val="0"/>
            </a:spcBef>
            <a:spcAft>
              <a:spcPts val="0"/>
            </a:spcAft>
            <a:buNone/>
          </a:pPr>
          <a:endParaRPr sz="1200" b="0" i="0">
            <a:solidFill>
              <a:schemeClr val="dk1"/>
            </a:solidFill>
            <a:latin typeface="Calibri"/>
            <a:ea typeface="Calibri"/>
            <a:cs typeface="Calibri"/>
            <a:sym typeface="Calibri"/>
          </a:endParaRPr>
        </a:p>
        <a:p>
          <a:pPr marL="0" lvl="0" indent="0" algn="l" rtl="0">
            <a:spcBef>
              <a:spcPts val="0"/>
            </a:spcBef>
            <a:spcAft>
              <a:spcPts val="0"/>
            </a:spcAft>
            <a:buNone/>
          </a:pPr>
          <a:r>
            <a:rPr lang="en-US" sz="1200" b="0" i="0">
              <a:solidFill>
                <a:schemeClr val="dk1"/>
              </a:solidFill>
              <a:latin typeface="Calibri"/>
              <a:ea typeface="Calibri"/>
              <a:cs typeface="Calibri"/>
              <a:sym typeface="Calibri"/>
            </a:rPr>
            <a:t>Let me know if you need any more coaching on Excel.</a:t>
          </a:r>
          <a:endParaRPr sz="1400"/>
        </a:p>
        <a:p>
          <a:pPr marL="0" lvl="0" indent="0" algn="l" rtl="0">
            <a:spcBef>
              <a:spcPts val="0"/>
            </a:spcBef>
            <a:spcAft>
              <a:spcPts val="0"/>
            </a:spcAft>
            <a:buNone/>
          </a:pPr>
          <a:endParaRPr sz="1100"/>
        </a:p>
        <a:p>
          <a:pPr marL="0" lvl="0" indent="0" algn="l" rtl="0">
            <a:spcBef>
              <a:spcPts val="0"/>
            </a:spcBef>
            <a:spcAft>
              <a:spcPts val="0"/>
            </a:spcAft>
            <a:buNone/>
          </a:pPr>
          <a:r>
            <a:rPr lang="en-US" sz="1100" b="1" u="sng">
              <a:solidFill>
                <a:schemeClr val="dk1"/>
              </a:solidFill>
              <a:latin typeface="Calibri"/>
              <a:ea typeface="Calibri"/>
              <a:cs typeface="Calibri"/>
              <a:sym typeface="Calibri"/>
            </a:rPr>
            <a:t>DIRECTIONS THROUGHOUT PROJECT</a:t>
          </a:r>
          <a:endParaRPr sz="1100"/>
        </a:p>
        <a:p>
          <a:pPr marL="0" lvl="0" indent="0" algn="l" rtl="0">
            <a:spcBef>
              <a:spcPts val="0"/>
            </a:spcBef>
            <a:spcAft>
              <a:spcPts val="0"/>
            </a:spcAft>
            <a:buNone/>
          </a:pPr>
          <a:r>
            <a:rPr lang="en-US" sz="1100">
              <a:solidFill>
                <a:schemeClr val="dk1"/>
              </a:solidFill>
              <a:latin typeface="Calibri"/>
              <a:ea typeface="Calibri"/>
              <a:cs typeface="Calibri"/>
              <a:sym typeface="Calibri"/>
            </a:rPr>
            <a:t>Yellow cells:   Input text, numbers, or cell references</a:t>
          </a:r>
          <a:endParaRPr sz="1100"/>
        </a:p>
        <a:p>
          <a:pPr marL="0" lvl="0" indent="0" algn="l" rtl="0">
            <a:spcBef>
              <a:spcPts val="0"/>
            </a:spcBef>
            <a:spcAft>
              <a:spcPts val="0"/>
            </a:spcAft>
            <a:buNone/>
          </a:pPr>
          <a:r>
            <a:rPr lang="en-US" sz="1100">
              <a:solidFill>
                <a:schemeClr val="dk1"/>
              </a:solidFill>
              <a:latin typeface="Calibri"/>
              <a:ea typeface="Calibri"/>
              <a:cs typeface="Calibri"/>
              <a:sym typeface="Calibri"/>
            </a:rPr>
            <a:t>Orange cells:  Input correct mathematical formula</a:t>
          </a:r>
          <a:endParaRPr sz="1100"/>
        </a:p>
        <a:p>
          <a:pPr marL="0" lvl="0" indent="0" algn="l" rtl="0">
            <a:spcBef>
              <a:spcPts val="0"/>
            </a:spcBef>
            <a:spcAft>
              <a:spcPts val="0"/>
            </a:spcAft>
            <a:buNone/>
          </a:pPr>
          <a:r>
            <a:rPr lang="en-US" sz="1100">
              <a:solidFill>
                <a:schemeClr val="dk1"/>
              </a:solidFill>
              <a:latin typeface="Calibri"/>
              <a:ea typeface="Calibri"/>
              <a:cs typeface="Calibri"/>
              <a:sym typeface="Calibri"/>
            </a:rPr>
            <a:t>Use round dollar amounts.   No cents needed.</a:t>
          </a:r>
          <a:endParaRPr sz="1100"/>
        </a:p>
        <a:p>
          <a:pPr marL="0" lvl="0" indent="0" algn="l" rtl="0">
            <a:spcBef>
              <a:spcPts val="0"/>
            </a:spcBef>
            <a:spcAft>
              <a:spcPts val="0"/>
            </a:spcAft>
            <a:buNone/>
          </a:pPr>
          <a:endParaRPr sz="1100"/>
        </a:p>
      </xdr:txBody>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171450</xdr:colOff>
      <xdr:row>1</xdr:row>
      <xdr:rowOff>47625</xdr:rowOff>
    </xdr:from>
    <xdr:ext cx="5810250" cy="4991100"/>
    <xdr:sp macro="" textlink="">
      <xdr:nvSpPr>
        <xdr:cNvPr id="5" name="Shape 5">
          <a:extLst>
            <a:ext uri="{FF2B5EF4-FFF2-40B4-BE49-F238E27FC236}">
              <a16:creationId xmlns:a16="http://schemas.microsoft.com/office/drawing/2014/main" id="{00000000-0008-0000-0100-000005000000}"/>
            </a:ext>
          </a:extLst>
        </xdr:cNvPr>
        <xdr:cNvSpPr txBox="1"/>
      </xdr:nvSpPr>
      <xdr:spPr>
        <a:xfrm>
          <a:off x="2440875" y="1289213"/>
          <a:ext cx="5810250" cy="4981575"/>
        </a:xfrm>
        <a:prstGeom prst="rect">
          <a:avLst/>
        </a:prstGeom>
        <a:solidFill>
          <a:srgbClr val="DDEAF6"/>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Clr>
              <a:schemeClr val="dk1"/>
            </a:buClr>
            <a:buSzPts val="1800"/>
            <a:buFont typeface="Calibri"/>
            <a:buNone/>
          </a:pPr>
          <a:r>
            <a:rPr lang="en-US" sz="1800" b="1" u="sng">
              <a:solidFill>
                <a:schemeClr val="dk1"/>
              </a:solidFill>
              <a:latin typeface="Calibri"/>
              <a:ea typeface="Calibri"/>
              <a:cs typeface="Calibri"/>
              <a:sym typeface="Calibri"/>
            </a:rPr>
            <a:t>Salary Estimate</a:t>
          </a:r>
          <a:endParaRPr sz="1400"/>
        </a:p>
        <a:p>
          <a:pPr marL="0" marR="0" lvl="0" indent="0" algn="l" rtl="0">
            <a:lnSpc>
              <a:spcPct val="100000"/>
            </a:lnSpc>
            <a:spcBef>
              <a:spcPts val="0"/>
            </a:spcBef>
            <a:spcAft>
              <a:spcPts val="0"/>
            </a:spcAft>
            <a:buSzPts val="1100"/>
            <a:buFont typeface="Arial"/>
            <a:buNone/>
          </a:pPr>
          <a:endParaRPr sz="1100" u="sng">
            <a:solidFill>
              <a:schemeClr val="dk1"/>
            </a:solidFill>
            <a:latin typeface="Calibri"/>
            <a:ea typeface="Calibri"/>
            <a:cs typeface="Calibri"/>
            <a:sym typeface="Calibri"/>
          </a:endParaRPr>
        </a:p>
        <a:p>
          <a:pPr marL="0" marR="0" lvl="0" indent="0" algn="l" rtl="0">
            <a:lnSpc>
              <a:spcPct val="100000"/>
            </a:lnSpc>
            <a:spcBef>
              <a:spcPts val="0"/>
            </a:spcBef>
            <a:spcAft>
              <a:spcPts val="0"/>
            </a:spcAft>
            <a:buClr>
              <a:schemeClr val="dk1"/>
            </a:buClr>
            <a:buSzPts val="1200"/>
            <a:buFont typeface="Calibri"/>
            <a:buNone/>
          </a:pPr>
          <a:r>
            <a:rPr lang="en-US" sz="1200">
              <a:solidFill>
                <a:schemeClr val="dk1"/>
              </a:solidFill>
              <a:latin typeface="Calibri"/>
              <a:ea typeface="Calibri"/>
              <a:cs typeface="Calibri"/>
              <a:sym typeface="Calibri"/>
            </a:rPr>
            <a:t>If you already have a job offer, you'll know this figure.   If not, you'll have to do some research.  Estimate your income for your FIRST year out of college (or grad school), be conservative in your salary estimate if salary ranges are given.    I'd rather have you plan for worst-case scenario than best-case scenario when it comes to your salary.   Also, be sure to take into account your planned location.  You may use any of the following sources: </a:t>
          </a:r>
          <a:endParaRPr sz="1400"/>
        </a:p>
        <a:p>
          <a:pPr marL="0" marR="0" lvl="0" indent="0" algn="l" rtl="0">
            <a:lnSpc>
              <a:spcPct val="100000"/>
            </a:lnSpc>
            <a:spcBef>
              <a:spcPts val="0"/>
            </a:spcBef>
            <a:spcAft>
              <a:spcPts val="0"/>
            </a:spcAft>
            <a:buSzPts val="1200"/>
            <a:buFont typeface="Arial"/>
            <a:buNone/>
          </a:pPr>
          <a:endParaRPr sz="1200">
            <a:solidFill>
              <a:schemeClr val="dk1"/>
            </a:solidFill>
            <a:latin typeface="Calibri"/>
            <a:ea typeface="Calibri"/>
            <a:cs typeface="Calibri"/>
            <a:sym typeface="Calibri"/>
          </a:endParaRPr>
        </a:p>
        <a:p>
          <a:pPr marL="0" marR="0" lvl="0" indent="0" algn="l" rtl="0">
            <a:lnSpc>
              <a:spcPct val="100000"/>
            </a:lnSpc>
            <a:spcBef>
              <a:spcPts val="0"/>
            </a:spcBef>
            <a:spcAft>
              <a:spcPts val="0"/>
            </a:spcAft>
            <a:buClr>
              <a:schemeClr val="dk1"/>
            </a:buClr>
            <a:buSzPts val="1200"/>
            <a:buFont typeface="Calibri"/>
            <a:buNone/>
          </a:pPr>
          <a:r>
            <a:rPr lang="en-US" sz="1200">
              <a:solidFill>
                <a:schemeClr val="dk1"/>
              </a:solidFill>
              <a:latin typeface="Calibri"/>
              <a:ea typeface="Calibri"/>
              <a:cs typeface="Calibri"/>
              <a:sym typeface="Calibri"/>
            </a:rPr>
            <a:t>Robert Half salary calculator at the following link: </a:t>
          </a:r>
          <a:endParaRPr sz="1400"/>
        </a:p>
        <a:p>
          <a:pPr marL="0" marR="0" lvl="0" indent="0" algn="l" rtl="0">
            <a:lnSpc>
              <a:spcPct val="100000"/>
            </a:lnSpc>
            <a:spcBef>
              <a:spcPts val="0"/>
            </a:spcBef>
            <a:spcAft>
              <a:spcPts val="0"/>
            </a:spcAft>
            <a:buClr>
              <a:schemeClr val="dk1"/>
            </a:buClr>
            <a:buSzPts val="1200"/>
            <a:buFont typeface="Calibri"/>
            <a:buNone/>
          </a:pPr>
          <a:r>
            <a:rPr lang="en-US" sz="1200">
              <a:solidFill>
                <a:schemeClr val="dk1"/>
              </a:solidFill>
              <a:latin typeface="Calibri"/>
              <a:ea typeface="Calibri"/>
              <a:cs typeface="Calibri"/>
              <a:sym typeface="Calibri"/>
            </a:rPr>
            <a:t> https://www.roberthalf.com/salary-guide/calculator </a:t>
          </a:r>
          <a:endParaRPr sz="1400"/>
        </a:p>
        <a:p>
          <a:pPr marL="0" marR="0" lvl="0" indent="0" algn="l" rtl="0">
            <a:lnSpc>
              <a:spcPct val="100000"/>
            </a:lnSpc>
            <a:spcBef>
              <a:spcPts val="0"/>
            </a:spcBef>
            <a:spcAft>
              <a:spcPts val="0"/>
            </a:spcAft>
            <a:buSzPts val="1200"/>
            <a:buFont typeface="Arial"/>
            <a:buNone/>
          </a:pPr>
          <a:endParaRPr sz="1200">
            <a:solidFill>
              <a:schemeClr val="dk1"/>
            </a:solidFill>
            <a:latin typeface="Calibri"/>
            <a:ea typeface="Calibri"/>
            <a:cs typeface="Calibri"/>
            <a:sym typeface="Calibri"/>
          </a:endParaRPr>
        </a:p>
        <a:p>
          <a:pPr marL="0" marR="0" lvl="0" indent="0" algn="l" rtl="0">
            <a:lnSpc>
              <a:spcPct val="100000"/>
            </a:lnSpc>
            <a:spcBef>
              <a:spcPts val="0"/>
            </a:spcBef>
            <a:spcAft>
              <a:spcPts val="0"/>
            </a:spcAft>
            <a:buClr>
              <a:schemeClr val="dk1"/>
            </a:buClr>
            <a:buSzPts val="1200"/>
            <a:buFont typeface="Calibri"/>
            <a:buNone/>
          </a:pPr>
          <a:r>
            <a:rPr lang="en-US" sz="1200">
              <a:solidFill>
                <a:schemeClr val="dk1"/>
              </a:solidFill>
              <a:latin typeface="Calibri"/>
              <a:ea typeface="Calibri"/>
              <a:cs typeface="Calibri"/>
              <a:sym typeface="Calibri"/>
            </a:rPr>
            <a:t>payscale.com</a:t>
          </a:r>
          <a:endParaRPr sz="1400"/>
        </a:p>
        <a:p>
          <a:pPr marL="0" marR="0" lvl="0" indent="0" algn="l" rtl="0">
            <a:lnSpc>
              <a:spcPct val="100000"/>
            </a:lnSpc>
            <a:spcBef>
              <a:spcPts val="0"/>
            </a:spcBef>
            <a:spcAft>
              <a:spcPts val="0"/>
            </a:spcAft>
            <a:buSzPts val="1200"/>
            <a:buFont typeface="Arial"/>
            <a:buNone/>
          </a:pPr>
          <a:endParaRPr sz="1200">
            <a:solidFill>
              <a:schemeClr val="dk1"/>
            </a:solidFill>
            <a:latin typeface="Calibri"/>
            <a:ea typeface="Calibri"/>
            <a:cs typeface="Calibri"/>
            <a:sym typeface="Calibri"/>
          </a:endParaRPr>
        </a:p>
        <a:p>
          <a:pPr marL="0" marR="0" lvl="0" indent="0" algn="l" rtl="0">
            <a:lnSpc>
              <a:spcPct val="100000"/>
            </a:lnSpc>
            <a:spcBef>
              <a:spcPts val="0"/>
            </a:spcBef>
            <a:spcAft>
              <a:spcPts val="0"/>
            </a:spcAft>
            <a:buClr>
              <a:schemeClr val="dk1"/>
            </a:buClr>
            <a:buSzPts val="1200"/>
            <a:buFont typeface="Calibri"/>
            <a:buNone/>
          </a:pPr>
          <a:r>
            <a:rPr lang="en-US" sz="1200">
              <a:solidFill>
                <a:schemeClr val="dk1"/>
              </a:solidFill>
              <a:latin typeface="Calibri"/>
              <a:ea typeface="Calibri"/>
              <a:cs typeface="Calibri"/>
              <a:sym typeface="Calibri"/>
            </a:rPr>
            <a:t>US Dept. of Labor (BLS.gov)</a:t>
          </a:r>
          <a:endParaRPr sz="1400"/>
        </a:p>
        <a:p>
          <a:pPr marL="0" marR="0" lvl="0" indent="0" algn="l" rtl="0">
            <a:lnSpc>
              <a:spcPct val="100000"/>
            </a:lnSpc>
            <a:spcBef>
              <a:spcPts val="0"/>
            </a:spcBef>
            <a:spcAft>
              <a:spcPts val="0"/>
            </a:spcAft>
            <a:buSzPts val="1200"/>
            <a:buFont typeface="Arial"/>
            <a:buNone/>
          </a:pPr>
          <a:endParaRPr sz="1200">
            <a:solidFill>
              <a:schemeClr val="dk1"/>
            </a:solidFill>
            <a:latin typeface="Calibri"/>
            <a:ea typeface="Calibri"/>
            <a:cs typeface="Calibri"/>
            <a:sym typeface="Calibri"/>
          </a:endParaRPr>
        </a:p>
        <a:p>
          <a:pPr marL="0" marR="0" lvl="0" indent="0" algn="l" rtl="0">
            <a:lnSpc>
              <a:spcPct val="100000"/>
            </a:lnSpc>
            <a:spcBef>
              <a:spcPts val="0"/>
            </a:spcBef>
            <a:spcAft>
              <a:spcPts val="0"/>
            </a:spcAft>
            <a:buClr>
              <a:schemeClr val="dk1"/>
            </a:buClr>
            <a:buSzPts val="1200"/>
            <a:buFont typeface="Calibri"/>
            <a:buNone/>
          </a:pPr>
          <a:r>
            <a:rPr lang="en-US" sz="1200">
              <a:solidFill>
                <a:schemeClr val="dk1"/>
              </a:solidFill>
              <a:latin typeface="Calibri"/>
              <a:ea typeface="Calibri"/>
              <a:cs typeface="Calibri"/>
              <a:sym typeface="Calibri"/>
            </a:rPr>
            <a:t>monster.com</a:t>
          </a:r>
          <a:endParaRPr sz="1400"/>
        </a:p>
        <a:p>
          <a:pPr marL="0" marR="0" lvl="0" indent="0" algn="l" rtl="0">
            <a:lnSpc>
              <a:spcPct val="100000"/>
            </a:lnSpc>
            <a:spcBef>
              <a:spcPts val="0"/>
            </a:spcBef>
            <a:spcAft>
              <a:spcPts val="0"/>
            </a:spcAft>
            <a:buSzPts val="1200"/>
            <a:buFont typeface="Arial"/>
            <a:buNone/>
          </a:pPr>
          <a:endParaRPr sz="1200">
            <a:solidFill>
              <a:schemeClr val="dk1"/>
            </a:solidFill>
            <a:latin typeface="Calibri"/>
            <a:ea typeface="Calibri"/>
            <a:cs typeface="Calibri"/>
            <a:sym typeface="Calibri"/>
          </a:endParaRPr>
        </a:p>
        <a:p>
          <a:pPr marL="0" marR="0" lvl="0" indent="0" algn="l" rtl="0">
            <a:lnSpc>
              <a:spcPct val="100000"/>
            </a:lnSpc>
            <a:spcBef>
              <a:spcPts val="0"/>
            </a:spcBef>
            <a:spcAft>
              <a:spcPts val="0"/>
            </a:spcAft>
            <a:buClr>
              <a:schemeClr val="dk1"/>
            </a:buClr>
            <a:buSzPts val="1200"/>
            <a:buFont typeface="Calibri"/>
            <a:buNone/>
          </a:pPr>
          <a:r>
            <a:rPr lang="en-US" sz="1200">
              <a:solidFill>
                <a:schemeClr val="dk1"/>
              </a:solidFill>
              <a:latin typeface="Calibri"/>
              <a:ea typeface="Calibri"/>
              <a:cs typeface="Calibri"/>
              <a:sym typeface="Calibri"/>
            </a:rPr>
            <a:t>Simply hired.com</a:t>
          </a:r>
          <a:endParaRPr sz="1400"/>
        </a:p>
        <a:p>
          <a:pPr marL="0" marR="0" lvl="0" indent="0" algn="l" rtl="0">
            <a:lnSpc>
              <a:spcPct val="100000"/>
            </a:lnSpc>
            <a:spcBef>
              <a:spcPts val="0"/>
            </a:spcBef>
            <a:spcAft>
              <a:spcPts val="0"/>
            </a:spcAft>
            <a:buSzPts val="1200"/>
            <a:buFont typeface="Arial"/>
            <a:buNone/>
          </a:pPr>
          <a:endParaRPr sz="1200">
            <a:solidFill>
              <a:schemeClr val="dk1"/>
            </a:solidFill>
            <a:latin typeface="Calibri"/>
            <a:ea typeface="Calibri"/>
            <a:cs typeface="Calibri"/>
            <a:sym typeface="Calibri"/>
          </a:endParaRPr>
        </a:p>
        <a:p>
          <a:pPr marL="0" marR="0" lvl="0" indent="0" algn="l" rtl="0">
            <a:lnSpc>
              <a:spcPct val="100000"/>
            </a:lnSpc>
            <a:spcBef>
              <a:spcPts val="0"/>
            </a:spcBef>
            <a:spcAft>
              <a:spcPts val="0"/>
            </a:spcAft>
            <a:buClr>
              <a:schemeClr val="dk1"/>
            </a:buClr>
            <a:buSzPts val="1200"/>
            <a:buFont typeface="Calibri"/>
            <a:buNone/>
          </a:pPr>
          <a:r>
            <a:rPr lang="en-US" sz="1200">
              <a:solidFill>
                <a:schemeClr val="dk1"/>
              </a:solidFill>
              <a:latin typeface="Calibri"/>
              <a:ea typeface="Calibri"/>
              <a:cs typeface="Calibri"/>
              <a:sym typeface="Calibri"/>
            </a:rPr>
            <a:t>Indeed.com</a:t>
          </a:r>
          <a:endParaRPr sz="1400"/>
        </a:p>
        <a:p>
          <a:pPr marL="0" marR="0" lvl="0" indent="0" algn="l" rtl="0">
            <a:lnSpc>
              <a:spcPct val="100000"/>
            </a:lnSpc>
            <a:spcBef>
              <a:spcPts val="0"/>
            </a:spcBef>
            <a:spcAft>
              <a:spcPts val="0"/>
            </a:spcAft>
            <a:buSzPts val="1200"/>
            <a:buFont typeface="Arial"/>
            <a:buNone/>
          </a:pPr>
          <a:endParaRPr sz="1200">
            <a:solidFill>
              <a:schemeClr val="dk1"/>
            </a:solidFill>
            <a:latin typeface="Calibri"/>
            <a:ea typeface="Calibri"/>
            <a:cs typeface="Calibri"/>
            <a:sym typeface="Calibri"/>
          </a:endParaRPr>
        </a:p>
        <a:p>
          <a:pPr marL="0" marR="0" lvl="0" indent="0" algn="l" rtl="0">
            <a:lnSpc>
              <a:spcPct val="100000"/>
            </a:lnSpc>
            <a:spcBef>
              <a:spcPts val="0"/>
            </a:spcBef>
            <a:spcAft>
              <a:spcPts val="0"/>
            </a:spcAft>
            <a:buClr>
              <a:schemeClr val="dk1"/>
            </a:buClr>
            <a:buSzPts val="1200"/>
            <a:buFont typeface="Calibri"/>
            <a:buNone/>
          </a:pPr>
          <a:r>
            <a:rPr lang="en-US" sz="1200">
              <a:solidFill>
                <a:schemeClr val="dk1"/>
              </a:solidFill>
              <a:latin typeface="Calibri"/>
              <a:ea typeface="Calibri"/>
              <a:cs typeface="Calibri"/>
              <a:sym typeface="Calibri"/>
            </a:rPr>
            <a:t>career services</a:t>
          </a:r>
          <a:endParaRPr sz="1400"/>
        </a:p>
        <a:p>
          <a:pPr marL="0" marR="0" lvl="0" indent="0" algn="l" rtl="0">
            <a:lnSpc>
              <a:spcPct val="100000"/>
            </a:lnSpc>
            <a:spcBef>
              <a:spcPts val="0"/>
            </a:spcBef>
            <a:spcAft>
              <a:spcPts val="0"/>
            </a:spcAft>
            <a:buSzPts val="1200"/>
            <a:buFont typeface="Arial"/>
            <a:buNone/>
          </a:pPr>
          <a:endParaRPr sz="1200">
            <a:solidFill>
              <a:schemeClr val="dk1"/>
            </a:solidFill>
            <a:latin typeface="Calibri"/>
            <a:ea typeface="Calibri"/>
            <a:cs typeface="Calibri"/>
            <a:sym typeface="Calibri"/>
          </a:endParaRPr>
        </a:p>
        <a:p>
          <a:pPr marL="0" marR="0" lvl="0" indent="0" algn="l" rtl="0">
            <a:lnSpc>
              <a:spcPct val="100000"/>
            </a:lnSpc>
            <a:spcBef>
              <a:spcPts val="0"/>
            </a:spcBef>
            <a:spcAft>
              <a:spcPts val="0"/>
            </a:spcAft>
            <a:buClr>
              <a:schemeClr val="dk1"/>
            </a:buClr>
            <a:buSzPts val="1200"/>
            <a:buFont typeface="Calibri"/>
            <a:buNone/>
          </a:pPr>
          <a:r>
            <a:rPr lang="en-US" sz="1200">
              <a:solidFill>
                <a:schemeClr val="dk1"/>
              </a:solidFill>
              <a:latin typeface="Calibri"/>
              <a:ea typeface="Calibri"/>
              <a:cs typeface="Calibri"/>
              <a:sym typeface="Calibri"/>
            </a:rPr>
            <a:t>want-ads</a:t>
          </a:r>
          <a:endParaRPr sz="1400"/>
        </a:p>
        <a:p>
          <a:pPr marL="0" marR="0" lvl="0" indent="0" algn="l" rtl="0">
            <a:lnSpc>
              <a:spcPct val="100000"/>
            </a:lnSpc>
            <a:spcBef>
              <a:spcPts val="0"/>
            </a:spcBef>
            <a:spcAft>
              <a:spcPts val="0"/>
            </a:spcAft>
            <a:buSzPts val="1200"/>
            <a:buFont typeface="Arial"/>
            <a:buNone/>
          </a:pPr>
          <a:endParaRPr sz="1200">
            <a:solidFill>
              <a:schemeClr val="dk1"/>
            </a:solidFill>
            <a:latin typeface="Calibri"/>
            <a:ea typeface="Calibri"/>
            <a:cs typeface="Calibri"/>
            <a:sym typeface="Calibri"/>
          </a:endParaRPr>
        </a:p>
        <a:p>
          <a:pPr marL="0" marR="0" lvl="0" indent="0" algn="l" rtl="0">
            <a:lnSpc>
              <a:spcPct val="100000"/>
            </a:lnSpc>
            <a:spcBef>
              <a:spcPts val="0"/>
            </a:spcBef>
            <a:spcAft>
              <a:spcPts val="0"/>
            </a:spcAft>
            <a:buClr>
              <a:schemeClr val="dk1"/>
            </a:buClr>
            <a:buSzPts val="1200"/>
            <a:buFont typeface="Calibri"/>
            <a:buNone/>
          </a:pPr>
          <a:r>
            <a:rPr lang="en-US" sz="1200">
              <a:solidFill>
                <a:schemeClr val="dk1"/>
              </a:solidFill>
              <a:latin typeface="Calibri"/>
              <a:ea typeface="Calibri"/>
              <a:cs typeface="Calibri"/>
              <a:sym typeface="Calibri"/>
            </a:rPr>
            <a:t>info from friends who have just graduated, etc.</a:t>
          </a:r>
          <a:endParaRPr sz="1400"/>
        </a:p>
        <a:p>
          <a:pPr marL="0" lvl="0" indent="0" algn="l" rtl="0">
            <a:spcBef>
              <a:spcPts val="0"/>
            </a:spcBef>
            <a:spcAft>
              <a:spcPts val="0"/>
            </a:spcAft>
            <a:buNone/>
          </a:pPr>
          <a:endParaRPr sz="1100"/>
        </a:p>
      </xdr:txBody>
    </xdr:sp>
    <xdr:clientData fLocksWithSheet="0"/>
  </xdr:oneCellAnchor>
  <xdr:oneCellAnchor>
    <xdr:from>
      <xdr:col>11</xdr:col>
      <xdr:colOff>238125</xdr:colOff>
      <xdr:row>15</xdr:row>
      <xdr:rowOff>9525</xdr:rowOff>
    </xdr:from>
    <xdr:ext cx="3552825" cy="1352550"/>
    <xdr:sp macro="" textlink="">
      <xdr:nvSpPr>
        <xdr:cNvPr id="6" name="Shape 6">
          <a:extLst>
            <a:ext uri="{FF2B5EF4-FFF2-40B4-BE49-F238E27FC236}">
              <a16:creationId xmlns:a16="http://schemas.microsoft.com/office/drawing/2014/main" id="{00000000-0008-0000-0100-000006000000}"/>
            </a:ext>
          </a:extLst>
        </xdr:cNvPr>
        <xdr:cNvSpPr txBox="1"/>
      </xdr:nvSpPr>
      <xdr:spPr>
        <a:xfrm>
          <a:off x="3574350" y="3108488"/>
          <a:ext cx="3543300" cy="1343025"/>
        </a:xfrm>
        <a:prstGeom prst="rect">
          <a:avLst/>
        </a:prstGeom>
        <a:solidFill>
          <a:srgbClr val="F7CAAC"/>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b="1" u="sng">
              <a:solidFill>
                <a:schemeClr val="dk1"/>
              </a:solidFill>
              <a:latin typeface="Calibri"/>
              <a:ea typeface="Calibri"/>
              <a:cs typeface="Calibri"/>
              <a:sym typeface="Calibri"/>
            </a:rPr>
            <a:t>DIRECTIONS THROUGHOUT PROJECT</a:t>
          </a:r>
          <a:endParaRPr sz="1400"/>
        </a:p>
        <a:p>
          <a:pPr marL="0" lvl="0" indent="0" algn="l" rtl="0">
            <a:spcBef>
              <a:spcPts val="0"/>
            </a:spcBef>
            <a:spcAft>
              <a:spcPts val="0"/>
            </a:spcAft>
            <a:buNone/>
          </a:pPr>
          <a:endParaRPr sz="1100"/>
        </a:p>
        <a:p>
          <a:pPr marL="0" lvl="0" indent="0" algn="l" rtl="0">
            <a:spcBef>
              <a:spcPts val="0"/>
            </a:spcBef>
            <a:spcAft>
              <a:spcPts val="0"/>
            </a:spcAft>
            <a:buNone/>
          </a:pPr>
          <a:r>
            <a:rPr lang="en-US" sz="1100">
              <a:solidFill>
                <a:schemeClr val="dk1"/>
              </a:solidFill>
              <a:latin typeface="Calibri"/>
              <a:ea typeface="Calibri"/>
              <a:cs typeface="Calibri"/>
              <a:sym typeface="Calibri"/>
            </a:rPr>
            <a:t>Yellow cells:   Input text, numbers, or cell references</a:t>
          </a:r>
          <a:endParaRPr sz="1100"/>
        </a:p>
        <a:p>
          <a:pPr marL="0" lvl="0" indent="0" algn="l" rtl="0">
            <a:spcBef>
              <a:spcPts val="0"/>
            </a:spcBef>
            <a:spcAft>
              <a:spcPts val="0"/>
            </a:spcAft>
            <a:buNone/>
          </a:pPr>
          <a:endParaRPr sz="1100"/>
        </a:p>
        <a:p>
          <a:pPr marL="0" lvl="0" indent="0" algn="l" rtl="0">
            <a:spcBef>
              <a:spcPts val="0"/>
            </a:spcBef>
            <a:spcAft>
              <a:spcPts val="0"/>
            </a:spcAft>
            <a:buNone/>
          </a:pPr>
          <a:r>
            <a:rPr lang="en-US" sz="1100">
              <a:solidFill>
                <a:schemeClr val="dk1"/>
              </a:solidFill>
              <a:latin typeface="Calibri"/>
              <a:ea typeface="Calibri"/>
              <a:cs typeface="Calibri"/>
              <a:sym typeface="Calibri"/>
            </a:rPr>
            <a:t>Orange cells:  Input correct mathematical formula</a:t>
          </a:r>
          <a:endParaRPr sz="1400"/>
        </a:p>
        <a:p>
          <a:pPr marL="0" lvl="0" indent="0" algn="l" rtl="0">
            <a:spcBef>
              <a:spcPts val="0"/>
            </a:spcBef>
            <a:spcAft>
              <a:spcPts val="0"/>
            </a:spcAft>
            <a:buNone/>
          </a:pPr>
          <a:endParaRPr sz="1100"/>
        </a:p>
        <a:p>
          <a:pPr marL="0" lvl="0" indent="0" algn="l" rtl="0">
            <a:spcBef>
              <a:spcPts val="0"/>
            </a:spcBef>
            <a:spcAft>
              <a:spcPts val="0"/>
            </a:spcAft>
            <a:buNone/>
          </a:pPr>
          <a:r>
            <a:rPr lang="en-US" sz="1100">
              <a:solidFill>
                <a:schemeClr val="dk1"/>
              </a:solidFill>
              <a:latin typeface="Calibri"/>
              <a:ea typeface="Calibri"/>
              <a:cs typeface="Calibri"/>
              <a:sym typeface="Calibri"/>
            </a:rPr>
            <a:t>Use round dollar amounts.   No cents needed.</a:t>
          </a:r>
          <a:endParaRPr sz="1100"/>
        </a:p>
      </xdr:txBody>
    </xdr:sp>
    <xdr:clientData fLocksWithSheet="0"/>
  </xdr:oneCellAnchor>
  <xdr:oneCellAnchor>
    <xdr:from>
      <xdr:col>13</xdr:col>
      <xdr:colOff>114300</xdr:colOff>
      <xdr:row>9</xdr:row>
      <xdr:rowOff>76200</xdr:rowOff>
    </xdr:from>
    <xdr:ext cx="542925" cy="66675"/>
    <xdr:grpSp>
      <xdr:nvGrpSpPr>
        <xdr:cNvPr id="2" name="Shape 2">
          <a:extLst>
            <a:ext uri="{FF2B5EF4-FFF2-40B4-BE49-F238E27FC236}">
              <a16:creationId xmlns:a16="http://schemas.microsoft.com/office/drawing/2014/main" id="{00000000-0008-0000-0100-000002000000}"/>
            </a:ext>
          </a:extLst>
        </xdr:cNvPr>
        <xdr:cNvGrpSpPr/>
      </xdr:nvGrpSpPr>
      <xdr:grpSpPr>
        <a:xfrm>
          <a:off x="10788650" y="1676400"/>
          <a:ext cx="542925" cy="66675"/>
          <a:chOff x="5074538" y="3775238"/>
          <a:chExt cx="542925" cy="9525"/>
        </a:xfrm>
      </xdr:grpSpPr>
      <xdr:cxnSp macro="">
        <xdr:nvCxnSpPr>
          <xdr:cNvPr id="7" name="Shape 7">
            <a:extLst>
              <a:ext uri="{FF2B5EF4-FFF2-40B4-BE49-F238E27FC236}">
                <a16:creationId xmlns:a16="http://schemas.microsoft.com/office/drawing/2014/main" id="{00000000-0008-0000-0100-000007000000}"/>
              </a:ext>
            </a:extLst>
          </xdr:cNvPr>
          <xdr:cNvCxnSpPr/>
        </xdr:nvCxnSpPr>
        <xdr:spPr>
          <a:xfrm flipH="1">
            <a:off x="5074538" y="3775238"/>
            <a:ext cx="542925" cy="9525"/>
          </a:xfrm>
          <a:prstGeom prst="straightConnector1">
            <a:avLst/>
          </a:prstGeom>
          <a:noFill/>
          <a:ln w="76200" cap="flat" cmpd="sng">
            <a:solidFill>
              <a:srgbClr val="FF0000"/>
            </a:solidFill>
            <a:prstDash val="solid"/>
            <a:miter lim="800000"/>
            <a:headEnd type="none" w="sm" len="sm"/>
            <a:tailEnd type="triangle" w="med" len="med"/>
          </a:ln>
        </xdr:spPr>
      </xdr:cxnSp>
    </xdr:grpSp>
    <xdr:clientData fLocksWithSheet="0"/>
  </xdr:oneCellAnchor>
  <xdr:oneCellAnchor>
    <xdr:from>
      <xdr:col>14</xdr:col>
      <xdr:colOff>104775</xdr:colOff>
      <xdr:row>9</xdr:row>
      <xdr:rowOff>38100</xdr:rowOff>
    </xdr:from>
    <xdr:ext cx="1857375" cy="1333500"/>
    <xdr:sp macro="" textlink="">
      <xdr:nvSpPr>
        <xdr:cNvPr id="8" name="Shape 8">
          <a:extLst>
            <a:ext uri="{FF2B5EF4-FFF2-40B4-BE49-F238E27FC236}">
              <a16:creationId xmlns:a16="http://schemas.microsoft.com/office/drawing/2014/main" id="{00000000-0008-0000-0100-000008000000}"/>
            </a:ext>
          </a:extLst>
        </xdr:cNvPr>
        <xdr:cNvSpPr txBox="1"/>
      </xdr:nvSpPr>
      <xdr:spPr>
        <a:xfrm>
          <a:off x="4417313" y="3118013"/>
          <a:ext cx="1857375" cy="1323975"/>
        </a:xfrm>
        <a:prstGeom prst="rect">
          <a:avLst/>
        </a:prstGeom>
        <a:solidFill>
          <a:srgbClr val="DDEAF6"/>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dk1"/>
              </a:solidFill>
              <a:latin typeface="Calibri"/>
              <a:ea typeface="Calibri"/>
              <a:cs typeface="Calibri"/>
              <a:sym typeface="Calibri"/>
            </a:rPr>
            <a:t>If you expect to have other EARNED  income (e.g.,  bonus, side jobs or gigs) the FIRST YEAR out of college, include it, and then explain what it is here.   Do NOT include passive income from investments.</a:t>
          </a:r>
          <a:endParaRPr sz="1100"/>
        </a:p>
      </xdr:txBody>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171450</xdr:colOff>
      <xdr:row>1</xdr:row>
      <xdr:rowOff>19050</xdr:rowOff>
    </xdr:from>
    <xdr:ext cx="6581775" cy="3248025"/>
    <xdr:sp macro="" textlink="">
      <xdr:nvSpPr>
        <xdr:cNvPr id="9" name="Shape 9">
          <a:extLst>
            <a:ext uri="{FF2B5EF4-FFF2-40B4-BE49-F238E27FC236}">
              <a16:creationId xmlns:a16="http://schemas.microsoft.com/office/drawing/2014/main" id="{00000000-0008-0000-0200-000009000000}"/>
            </a:ext>
          </a:extLst>
        </xdr:cNvPr>
        <xdr:cNvSpPr txBox="1"/>
      </xdr:nvSpPr>
      <xdr:spPr>
        <a:xfrm>
          <a:off x="2064638" y="2165513"/>
          <a:ext cx="6562725" cy="3228975"/>
        </a:xfrm>
        <a:prstGeom prst="rect">
          <a:avLst/>
        </a:prstGeom>
        <a:solidFill>
          <a:srgbClr val="DDEAF6"/>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800" b="1">
              <a:solidFill>
                <a:schemeClr val="dk1"/>
              </a:solidFill>
              <a:latin typeface="Calibri"/>
              <a:ea typeface="Calibri"/>
              <a:cs typeface="Calibri"/>
              <a:sym typeface="Calibri"/>
            </a:rPr>
            <a:t> </a:t>
          </a:r>
          <a:r>
            <a:rPr lang="en-US" sz="1800" b="1" u="sng">
              <a:solidFill>
                <a:schemeClr val="dk1"/>
              </a:solidFill>
              <a:latin typeface="Calibri"/>
              <a:ea typeface="Calibri"/>
              <a:cs typeface="Calibri"/>
              <a:sym typeface="Calibri"/>
            </a:rPr>
            <a:t>FICA</a:t>
          </a:r>
          <a:r>
            <a:rPr lang="en-US" sz="1800" u="sng">
              <a:solidFill>
                <a:schemeClr val="dk1"/>
              </a:solidFill>
              <a:latin typeface="Calibri"/>
              <a:ea typeface="Calibri"/>
              <a:cs typeface="Calibri"/>
              <a:sym typeface="Calibri"/>
            </a:rPr>
            <a:t> </a:t>
          </a:r>
          <a:r>
            <a:rPr lang="en-US" sz="1800" b="1" u="sng">
              <a:solidFill>
                <a:schemeClr val="dk1"/>
              </a:solidFill>
              <a:latin typeface="Calibri"/>
              <a:ea typeface="Calibri"/>
              <a:cs typeface="Calibri"/>
              <a:sym typeface="Calibri"/>
            </a:rPr>
            <a:t>(Federal Insurance Contribution Act) tax </a:t>
          </a:r>
          <a:endParaRPr sz="1400"/>
        </a:p>
        <a:p>
          <a:pPr marL="0" lvl="0" indent="0" algn="l" rtl="0">
            <a:spcBef>
              <a:spcPts val="0"/>
            </a:spcBef>
            <a:spcAft>
              <a:spcPts val="0"/>
            </a:spcAft>
            <a:buNone/>
          </a:pPr>
          <a:endParaRPr sz="1800" b="1">
            <a:solidFill>
              <a:schemeClr val="dk1"/>
            </a:solidFill>
            <a:latin typeface="Calibri"/>
            <a:ea typeface="Calibri"/>
            <a:cs typeface="Calibri"/>
            <a:sym typeface="Calibri"/>
          </a:endParaRPr>
        </a:p>
        <a:p>
          <a:pPr marL="0" lvl="0" indent="0" algn="l" rtl="0">
            <a:spcBef>
              <a:spcPts val="0"/>
            </a:spcBef>
            <a:spcAft>
              <a:spcPts val="0"/>
            </a:spcAft>
            <a:buNone/>
          </a:pPr>
          <a:r>
            <a:rPr lang="en-US" sz="1200">
              <a:solidFill>
                <a:schemeClr val="dk1"/>
              </a:solidFill>
              <a:latin typeface="Calibri"/>
              <a:ea typeface="Calibri"/>
              <a:cs typeface="Calibri"/>
              <a:sym typeface="Calibri"/>
            </a:rPr>
            <a:t>FICA consists of taxes for social security (6.2%) and taxes for medicare (1.45%). Combined they total 7.65% of your salary and wages.  The tax is assessed on SALARY AND WAGE (and BONUS) income, not on any investment income.  </a:t>
          </a:r>
          <a:r>
            <a:rPr lang="en-US" sz="1100">
              <a:solidFill>
                <a:schemeClr val="dk1"/>
              </a:solidFill>
              <a:latin typeface="Calibri"/>
              <a:ea typeface="Calibri"/>
              <a:cs typeface="Calibri"/>
              <a:sym typeface="Calibri"/>
            </a:rPr>
            <a:t>Your employer pays an equal amount amount of tax</a:t>
          </a:r>
          <a:r>
            <a:rPr lang="en-US" sz="1100" b="1">
              <a:solidFill>
                <a:schemeClr val="dk1"/>
              </a:solidFill>
              <a:latin typeface="Calibri"/>
              <a:ea typeface="Calibri"/>
              <a:cs typeface="Calibri"/>
              <a:sym typeface="Calibri"/>
            </a:rPr>
            <a:t>.  </a:t>
          </a:r>
          <a:endParaRPr sz="1200" b="1">
            <a:solidFill>
              <a:schemeClr val="dk1"/>
            </a:solidFill>
            <a:latin typeface="Calibri"/>
            <a:ea typeface="Calibri"/>
            <a:cs typeface="Calibri"/>
            <a:sym typeface="Calibri"/>
          </a:endParaRPr>
        </a:p>
        <a:p>
          <a:pPr marL="0" lvl="0" indent="0" algn="l" rtl="0">
            <a:spcBef>
              <a:spcPts val="0"/>
            </a:spcBef>
            <a:spcAft>
              <a:spcPts val="0"/>
            </a:spcAft>
            <a:buNone/>
          </a:pPr>
          <a:endParaRPr sz="1200">
            <a:solidFill>
              <a:schemeClr val="dk1"/>
            </a:solidFill>
            <a:latin typeface="Calibri"/>
            <a:ea typeface="Calibri"/>
            <a:cs typeface="Calibri"/>
            <a:sym typeface="Calibri"/>
          </a:endParaRPr>
        </a:p>
        <a:p>
          <a:pPr marL="0" lvl="0" indent="0" algn="l" rtl="0">
            <a:spcBef>
              <a:spcPts val="0"/>
            </a:spcBef>
            <a:spcAft>
              <a:spcPts val="0"/>
            </a:spcAft>
            <a:buNone/>
          </a:pPr>
          <a:r>
            <a:rPr lang="en-US" sz="1200">
              <a:solidFill>
                <a:schemeClr val="dk1"/>
              </a:solidFill>
              <a:latin typeface="Calibri"/>
              <a:ea typeface="Calibri"/>
              <a:cs typeface="Calibri"/>
              <a:sym typeface="Calibri"/>
            </a:rPr>
            <a:t>The Social security tax does not apply to amounts earned over $176,100 (2025 cap).  This cap increases every year.  However, the Medicare tax has no salary cap.  Therefore, </a:t>
          </a:r>
          <a:r>
            <a:rPr lang="en-US" sz="1200" b="1">
              <a:solidFill>
                <a:schemeClr val="dk1"/>
              </a:solidFill>
              <a:latin typeface="Calibri"/>
              <a:ea typeface="Calibri"/>
              <a:cs typeface="Calibri"/>
              <a:sym typeface="Calibri"/>
            </a:rPr>
            <a:t>if your annual salary is over $176,100</a:t>
          </a:r>
          <a:r>
            <a:rPr lang="en-US" sz="1200">
              <a:solidFill>
                <a:schemeClr val="dk1"/>
              </a:solidFill>
              <a:latin typeface="Calibri"/>
              <a:ea typeface="Calibri"/>
              <a:cs typeface="Calibri"/>
              <a:sym typeface="Calibri"/>
            </a:rPr>
            <a:t>, you will pay 7.65% on the first $176,100  plus another 1.45% on income over that cap</a:t>
          </a:r>
          <a:r>
            <a:rPr lang="en-US" sz="1100">
              <a:solidFill>
                <a:schemeClr val="dk1"/>
              </a:solidFill>
              <a:latin typeface="Calibri"/>
              <a:ea typeface="Calibri"/>
              <a:cs typeface="Calibri"/>
              <a:sym typeface="Calibri"/>
            </a:rPr>
            <a:t>.</a:t>
          </a:r>
          <a:endParaRPr sz="1400"/>
        </a:p>
        <a:p>
          <a:pPr marL="0" lvl="0" indent="0" algn="l" rtl="0">
            <a:spcBef>
              <a:spcPts val="0"/>
            </a:spcBef>
            <a:spcAft>
              <a:spcPts val="0"/>
            </a:spcAft>
            <a:buNone/>
          </a:pPr>
          <a:endParaRPr sz="1100">
            <a:solidFill>
              <a:schemeClr val="dk1"/>
            </a:solidFill>
            <a:latin typeface="Calibri"/>
            <a:ea typeface="Calibri"/>
            <a:cs typeface="Calibri"/>
            <a:sym typeface="Calibri"/>
          </a:endParaRPr>
        </a:p>
        <a:p>
          <a:pPr marL="0" lvl="0" indent="0" algn="l" rtl="0">
            <a:spcBef>
              <a:spcPts val="0"/>
            </a:spcBef>
            <a:spcAft>
              <a:spcPts val="0"/>
            </a:spcAft>
            <a:buNone/>
          </a:pPr>
          <a:r>
            <a:rPr lang="en-US" sz="1200" b="1">
              <a:solidFill>
                <a:schemeClr val="dk1"/>
              </a:solidFill>
              <a:latin typeface="Calibri"/>
              <a:ea typeface="Calibri"/>
              <a:cs typeface="Calibri"/>
              <a:sym typeface="Calibri"/>
            </a:rPr>
            <a:t>Depending on your expected salary, fill out </a:t>
          </a:r>
          <a:r>
            <a:rPr lang="en-US" sz="1200" b="1" u="sng">
              <a:solidFill>
                <a:schemeClr val="dk1"/>
              </a:solidFill>
              <a:latin typeface="Calibri"/>
              <a:ea typeface="Calibri"/>
              <a:cs typeface="Calibri"/>
              <a:sym typeface="Calibri"/>
            </a:rPr>
            <a:t>one</a:t>
          </a:r>
          <a:r>
            <a:rPr lang="en-US" sz="1200" b="1">
              <a:solidFill>
                <a:schemeClr val="dk1"/>
              </a:solidFill>
              <a:latin typeface="Calibri"/>
              <a:ea typeface="Calibri"/>
              <a:cs typeface="Calibri"/>
              <a:sym typeface="Calibri"/>
            </a:rPr>
            <a:t> of the top two green boxes to the right.</a:t>
          </a:r>
          <a:endParaRPr sz="1200" b="1">
            <a:solidFill>
              <a:schemeClr val="dk1"/>
            </a:solidFill>
            <a:latin typeface="Calibri"/>
            <a:ea typeface="Calibri"/>
            <a:cs typeface="Calibri"/>
            <a:sym typeface="Calibri"/>
          </a:endParaRPr>
        </a:p>
        <a:p>
          <a:pPr marL="0" lvl="0" indent="0" algn="l" rtl="0">
            <a:spcBef>
              <a:spcPts val="0"/>
            </a:spcBef>
            <a:spcAft>
              <a:spcPts val="0"/>
            </a:spcAft>
            <a:buNone/>
          </a:pPr>
          <a:endParaRPr sz="1100">
            <a:solidFill>
              <a:schemeClr val="dk1"/>
            </a:solidFill>
            <a:latin typeface="Calibri"/>
            <a:ea typeface="Calibri"/>
            <a:cs typeface="Calibri"/>
            <a:sym typeface="Calibri"/>
          </a:endParaRPr>
        </a:p>
        <a:p>
          <a:pPr marL="0" lvl="0" indent="0" algn="l" rtl="0">
            <a:spcBef>
              <a:spcPts val="0"/>
            </a:spcBef>
            <a:spcAft>
              <a:spcPts val="0"/>
            </a:spcAft>
            <a:buNone/>
          </a:pPr>
          <a:r>
            <a:rPr lang="en-US" sz="1100">
              <a:solidFill>
                <a:schemeClr val="dk1"/>
              </a:solidFill>
              <a:latin typeface="Calibri"/>
              <a:ea typeface="Calibri"/>
              <a:cs typeface="Calibri"/>
              <a:sym typeface="Calibri"/>
            </a:rPr>
            <a:t> </a:t>
          </a:r>
          <a:endParaRPr sz="1400"/>
        </a:p>
        <a:p>
          <a:pPr marL="0" lvl="0" indent="0" algn="l" rtl="0">
            <a:spcBef>
              <a:spcPts val="0"/>
            </a:spcBef>
            <a:spcAft>
              <a:spcPts val="0"/>
            </a:spcAft>
            <a:buNone/>
          </a:pPr>
          <a:r>
            <a:rPr lang="en-US" sz="1200" b="0">
              <a:solidFill>
                <a:schemeClr val="dk1"/>
              </a:solidFill>
              <a:latin typeface="Calibri"/>
              <a:ea typeface="Calibri"/>
              <a:cs typeface="Calibri"/>
              <a:sym typeface="Calibri"/>
            </a:rPr>
            <a:t>Finally If you have any self-employment income, you are both the employer </a:t>
          </a:r>
          <a:r>
            <a:rPr lang="en-US" sz="1200" b="0" i="1">
              <a:solidFill>
                <a:schemeClr val="dk1"/>
              </a:solidFill>
              <a:latin typeface="Calibri"/>
              <a:ea typeface="Calibri"/>
              <a:cs typeface="Calibri"/>
              <a:sym typeface="Calibri"/>
            </a:rPr>
            <a:t>and</a:t>
          </a:r>
          <a:r>
            <a:rPr lang="en-US" sz="1200" b="0">
              <a:solidFill>
                <a:schemeClr val="dk1"/>
              </a:solidFill>
              <a:latin typeface="Calibri"/>
              <a:ea typeface="Calibri"/>
              <a:cs typeface="Calibri"/>
              <a:sym typeface="Calibri"/>
            </a:rPr>
            <a:t> the employee, so you will need to DOUBLE the tax rate.</a:t>
          </a:r>
          <a:endParaRPr sz="1200" b="0"/>
        </a:p>
      </xdr:txBody>
    </xdr:sp>
    <xdr:clientData fLocksWithSheet="0"/>
  </xdr:oneCellAnchor>
  <xdr:oneCellAnchor>
    <xdr:from>
      <xdr:col>2</xdr:col>
      <xdr:colOff>219075</xdr:colOff>
      <xdr:row>16</xdr:row>
      <xdr:rowOff>57150</xdr:rowOff>
    </xdr:from>
    <xdr:ext cx="4895850" cy="1476375"/>
    <xdr:grpSp>
      <xdr:nvGrpSpPr>
        <xdr:cNvPr id="2" name="Shape 2">
          <a:extLst>
            <a:ext uri="{FF2B5EF4-FFF2-40B4-BE49-F238E27FC236}">
              <a16:creationId xmlns:a16="http://schemas.microsoft.com/office/drawing/2014/main" id="{00000000-0008-0000-0200-000002000000}"/>
            </a:ext>
          </a:extLst>
        </xdr:cNvPr>
        <xdr:cNvGrpSpPr/>
      </xdr:nvGrpSpPr>
      <xdr:grpSpPr>
        <a:xfrm>
          <a:off x="2263775" y="2901950"/>
          <a:ext cx="4895850" cy="1476375"/>
          <a:chOff x="2907600" y="3051338"/>
          <a:chExt cx="4876800" cy="1457325"/>
        </a:xfrm>
      </xdr:grpSpPr>
      <xdr:cxnSp macro="">
        <xdr:nvCxnSpPr>
          <xdr:cNvPr id="10" name="Shape 10">
            <a:extLst>
              <a:ext uri="{FF2B5EF4-FFF2-40B4-BE49-F238E27FC236}">
                <a16:creationId xmlns:a16="http://schemas.microsoft.com/office/drawing/2014/main" id="{00000000-0008-0000-0200-00000A000000}"/>
              </a:ext>
            </a:extLst>
          </xdr:cNvPr>
          <xdr:cNvCxnSpPr/>
        </xdr:nvCxnSpPr>
        <xdr:spPr>
          <a:xfrm>
            <a:off x="2907600" y="3051338"/>
            <a:ext cx="4876800" cy="1457325"/>
          </a:xfrm>
          <a:prstGeom prst="straightConnector1">
            <a:avLst/>
          </a:prstGeom>
          <a:noFill/>
          <a:ln w="28575" cap="flat" cmpd="sng">
            <a:solidFill>
              <a:srgbClr val="FF0000"/>
            </a:solidFill>
            <a:prstDash val="solid"/>
            <a:miter lim="800000"/>
            <a:headEnd type="none" w="sm" len="sm"/>
            <a:tailEnd type="triangle" w="med" len="med"/>
          </a:ln>
        </xdr:spPr>
      </xdr:cxnSp>
    </xdr:grpSp>
    <xdr:clientData fLocksWithSheet="0"/>
  </xdr:oneCellAnchor>
  <xdr:oneCellAnchor>
    <xdr:from>
      <xdr:col>8</xdr:col>
      <xdr:colOff>190500</xdr:colOff>
      <xdr:row>9</xdr:row>
      <xdr:rowOff>85725</xdr:rowOff>
    </xdr:from>
    <xdr:ext cx="1514475" cy="533400"/>
    <xdr:grpSp>
      <xdr:nvGrpSpPr>
        <xdr:cNvPr id="3" name="Shape 2">
          <a:extLst>
            <a:ext uri="{FF2B5EF4-FFF2-40B4-BE49-F238E27FC236}">
              <a16:creationId xmlns:a16="http://schemas.microsoft.com/office/drawing/2014/main" id="{00000000-0008-0000-0200-000003000000}"/>
            </a:ext>
          </a:extLst>
        </xdr:cNvPr>
        <xdr:cNvGrpSpPr/>
      </xdr:nvGrpSpPr>
      <xdr:grpSpPr>
        <a:xfrm>
          <a:off x="5854700" y="1685925"/>
          <a:ext cx="1514475" cy="533400"/>
          <a:chOff x="4598288" y="3527588"/>
          <a:chExt cx="1495425" cy="504825"/>
        </a:xfrm>
      </xdr:grpSpPr>
      <xdr:cxnSp macro="">
        <xdr:nvCxnSpPr>
          <xdr:cNvPr id="11" name="Shape 11">
            <a:extLst>
              <a:ext uri="{FF2B5EF4-FFF2-40B4-BE49-F238E27FC236}">
                <a16:creationId xmlns:a16="http://schemas.microsoft.com/office/drawing/2014/main" id="{00000000-0008-0000-0200-00000B000000}"/>
              </a:ext>
            </a:extLst>
          </xdr:cNvPr>
          <xdr:cNvCxnSpPr/>
        </xdr:nvCxnSpPr>
        <xdr:spPr>
          <a:xfrm rot="10800000" flipH="1">
            <a:off x="4598288" y="3527588"/>
            <a:ext cx="1495425" cy="504825"/>
          </a:xfrm>
          <a:prstGeom prst="straightConnector1">
            <a:avLst/>
          </a:prstGeom>
          <a:noFill/>
          <a:ln w="28575" cap="flat" cmpd="sng">
            <a:solidFill>
              <a:srgbClr val="FF0000"/>
            </a:solidFill>
            <a:prstDash val="solid"/>
            <a:miter lim="800000"/>
            <a:headEnd type="none" w="sm" len="sm"/>
            <a:tailEnd type="triangle" w="med" len="med"/>
          </a:ln>
        </xdr:spPr>
      </xdr:cxnSp>
    </xdr:grpSp>
    <xdr:clientData fLocksWithSheet="0"/>
  </xdr:oneCellAnchor>
  <xdr:oneCellAnchor>
    <xdr:from>
      <xdr:col>8</xdr:col>
      <xdr:colOff>200025</xdr:colOff>
      <xdr:row>2</xdr:row>
      <xdr:rowOff>114300</xdr:rowOff>
    </xdr:from>
    <xdr:ext cx="1524000" cy="1771650"/>
    <xdr:grpSp>
      <xdr:nvGrpSpPr>
        <xdr:cNvPr id="4" name="Shape 2">
          <a:extLst>
            <a:ext uri="{FF2B5EF4-FFF2-40B4-BE49-F238E27FC236}">
              <a16:creationId xmlns:a16="http://schemas.microsoft.com/office/drawing/2014/main" id="{00000000-0008-0000-0200-000004000000}"/>
            </a:ext>
          </a:extLst>
        </xdr:cNvPr>
        <xdr:cNvGrpSpPr/>
      </xdr:nvGrpSpPr>
      <xdr:grpSpPr>
        <a:xfrm>
          <a:off x="5864225" y="469900"/>
          <a:ext cx="1524000" cy="1771650"/>
          <a:chOff x="4593525" y="2908463"/>
          <a:chExt cx="1504950" cy="1743075"/>
        </a:xfrm>
      </xdr:grpSpPr>
      <xdr:cxnSp macro="">
        <xdr:nvCxnSpPr>
          <xdr:cNvPr id="12" name="Shape 12">
            <a:extLst>
              <a:ext uri="{FF2B5EF4-FFF2-40B4-BE49-F238E27FC236}">
                <a16:creationId xmlns:a16="http://schemas.microsoft.com/office/drawing/2014/main" id="{00000000-0008-0000-0200-00000C000000}"/>
              </a:ext>
            </a:extLst>
          </xdr:cNvPr>
          <xdr:cNvCxnSpPr/>
        </xdr:nvCxnSpPr>
        <xdr:spPr>
          <a:xfrm rot="10800000" flipH="1">
            <a:off x="4593525" y="2908463"/>
            <a:ext cx="1504950" cy="1743075"/>
          </a:xfrm>
          <a:prstGeom prst="straightConnector1">
            <a:avLst/>
          </a:prstGeom>
          <a:noFill/>
          <a:ln w="28575" cap="flat" cmpd="sng">
            <a:solidFill>
              <a:srgbClr val="FF0000"/>
            </a:solidFill>
            <a:prstDash val="solid"/>
            <a:miter lim="800000"/>
            <a:headEnd type="none" w="sm" len="sm"/>
            <a:tailEnd type="triangle" w="med" len="med"/>
          </a:ln>
        </xdr:spPr>
      </xdr:cxnSp>
    </xdr:grpSp>
    <xdr:clientData fLocksWithSheet="0"/>
  </xdr:oneCellAnchor>
</xdr:wsDr>
</file>

<file path=xl/drawings/drawing4.xml><?xml version="1.0" encoding="utf-8"?>
<xdr:wsDr xmlns:xdr="http://schemas.openxmlformats.org/drawingml/2006/spreadsheetDrawing" xmlns:a="http://schemas.openxmlformats.org/drawingml/2006/main">
  <xdr:oneCellAnchor>
    <xdr:from>
      <xdr:col>0</xdr:col>
      <xdr:colOff>114300</xdr:colOff>
      <xdr:row>0</xdr:row>
      <xdr:rowOff>171450</xdr:rowOff>
    </xdr:from>
    <xdr:ext cx="4933950" cy="4400550"/>
    <xdr:sp macro="" textlink="">
      <xdr:nvSpPr>
        <xdr:cNvPr id="13" name="Shape 13">
          <a:extLst>
            <a:ext uri="{FF2B5EF4-FFF2-40B4-BE49-F238E27FC236}">
              <a16:creationId xmlns:a16="http://schemas.microsoft.com/office/drawing/2014/main" id="{00000000-0008-0000-0300-00000D000000}"/>
            </a:ext>
          </a:extLst>
        </xdr:cNvPr>
        <xdr:cNvSpPr txBox="1"/>
      </xdr:nvSpPr>
      <xdr:spPr>
        <a:xfrm>
          <a:off x="2883788" y="1584488"/>
          <a:ext cx="4924425" cy="4391025"/>
        </a:xfrm>
        <a:prstGeom prst="rect">
          <a:avLst/>
        </a:prstGeom>
        <a:solidFill>
          <a:srgbClr val="DDEAF6"/>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800" b="1" u="sng">
              <a:solidFill>
                <a:schemeClr val="dk1"/>
              </a:solidFill>
              <a:latin typeface="Calibri"/>
              <a:ea typeface="Calibri"/>
              <a:cs typeface="Calibri"/>
              <a:sym typeface="Calibri"/>
            </a:rPr>
            <a:t>Local income tax</a:t>
          </a:r>
          <a:endParaRPr sz="1800" u="sng">
            <a:solidFill>
              <a:schemeClr val="dk1"/>
            </a:solidFill>
            <a:latin typeface="Calibri"/>
            <a:ea typeface="Calibri"/>
            <a:cs typeface="Calibri"/>
            <a:sym typeface="Calibri"/>
          </a:endParaRPr>
        </a:p>
        <a:p>
          <a:pPr marL="0" lvl="0" indent="0" algn="l" rtl="0">
            <a:spcBef>
              <a:spcPts val="0"/>
            </a:spcBef>
            <a:spcAft>
              <a:spcPts val="0"/>
            </a:spcAft>
            <a:buNone/>
          </a:pPr>
          <a:r>
            <a:rPr lang="en-US" sz="1100">
              <a:solidFill>
                <a:schemeClr val="dk1"/>
              </a:solidFill>
              <a:latin typeface="Calibri"/>
              <a:ea typeface="Calibri"/>
              <a:cs typeface="Calibri"/>
              <a:sym typeface="Calibri"/>
            </a:rPr>
            <a:t>Some cities and counties, including Cleveland, have a local income tax.    </a:t>
          </a:r>
          <a:r>
            <a:rPr lang="en-US" sz="1100" b="1">
              <a:solidFill>
                <a:schemeClr val="dk1"/>
              </a:solidFill>
              <a:latin typeface="Calibri"/>
              <a:ea typeface="Calibri"/>
              <a:cs typeface="Calibri"/>
              <a:sym typeface="Calibri"/>
            </a:rPr>
            <a:t>Cleveland’s local income tax is  2.5% of gross wages</a:t>
          </a:r>
          <a:r>
            <a:rPr lang="en-US" sz="1100">
              <a:solidFill>
                <a:schemeClr val="dk1"/>
              </a:solidFill>
              <a:latin typeface="Calibri"/>
              <a:ea typeface="Calibri"/>
              <a:cs typeface="Calibri"/>
              <a:sym typeface="Calibri"/>
            </a:rPr>
            <a:t>. If you plan to live somewhere other than Cleveland, use the links below to determine whether you will be subject to a local income tax on your salary and wages.   Do NOT  just Google your city, as the searches usually result in an average tax rate including sales tax, state income tax, etc., whereas we are specifically trying to find JUST the LOCAL INCOME TAX rate for your city, if there is one.   The file links below contains the information you'll need.  </a:t>
          </a:r>
          <a:endParaRPr sz="1400"/>
        </a:p>
        <a:p>
          <a:pPr marL="0" lvl="0" indent="0" algn="l" rtl="0">
            <a:spcBef>
              <a:spcPts val="0"/>
            </a:spcBef>
            <a:spcAft>
              <a:spcPts val="0"/>
            </a:spcAft>
            <a:buNone/>
          </a:pPr>
          <a:endParaRPr sz="1100"/>
        </a:p>
        <a:p>
          <a:pPr marL="0" marR="0" lvl="0" indent="0" algn="l" rtl="0">
            <a:lnSpc>
              <a:spcPct val="100000"/>
            </a:lnSpc>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Many local communities use a central collection system for income tax purposes.  Check the links for  Central Collection Agency or Regional Income Tax Agency for current tax rates for your city.  If your local community is not listed in CCA or RITA, then use the tax foundation link below.</a:t>
          </a:r>
          <a:endParaRPr sz="1400"/>
        </a:p>
        <a:p>
          <a:pPr marL="0" marR="0" lvl="0" indent="0" algn="l" rtl="0">
            <a:lnSpc>
              <a:spcPct val="100000"/>
            </a:lnSpc>
            <a:spcBef>
              <a:spcPts val="0"/>
            </a:spcBef>
            <a:spcAft>
              <a:spcPts val="0"/>
            </a:spcAft>
            <a:buSzPts val="1100"/>
            <a:buFont typeface="Arial"/>
            <a:buNone/>
          </a:pPr>
          <a:endParaRPr sz="1100"/>
        </a:p>
        <a:p>
          <a:pPr marL="0" lvl="0" indent="0" algn="l" rtl="0">
            <a:spcBef>
              <a:spcPts val="0"/>
            </a:spcBef>
            <a:spcAft>
              <a:spcPts val="0"/>
            </a:spcAft>
            <a:buNone/>
          </a:pPr>
          <a:r>
            <a:rPr lang="en-US" sz="1100">
              <a:solidFill>
                <a:schemeClr val="dk1"/>
              </a:solidFill>
              <a:latin typeface="Calibri"/>
              <a:ea typeface="Calibri"/>
              <a:cs typeface="Calibri"/>
              <a:sym typeface="Calibri"/>
            </a:rPr>
            <a:t>Once you click on the tax foundation link below, you'll have the option of downloading  either a pdf file or an Excel file.   You may use either file.   Although the data is from 2019, it is still the most thorough data I could find.   </a:t>
          </a:r>
          <a:endParaRPr sz="1400"/>
        </a:p>
        <a:p>
          <a:pPr marL="0" marR="0" lvl="0" indent="0" algn="l" rtl="0">
            <a:lnSpc>
              <a:spcPct val="100000"/>
            </a:lnSpc>
            <a:spcBef>
              <a:spcPts val="0"/>
            </a:spcBef>
            <a:spcAft>
              <a:spcPts val="0"/>
            </a:spcAft>
            <a:buSzPts val="1100"/>
            <a:buFont typeface="Arial"/>
            <a:buNone/>
          </a:pPr>
          <a:r>
            <a:rPr lang="en-US" sz="1100">
              <a:solidFill>
                <a:schemeClr val="dk1"/>
              </a:solidFill>
              <a:latin typeface="Calibri"/>
              <a:ea typeface="Calibri"/>
              <a:cs typeface="Calibri"/>
              <a:sym typeface="Calibri"/>
            </a:rPr>
            <a:t>The pdf file provides background, including a map of states that have local income taxes.   The actual tax rates are listed beginning on page 8. The Excel file only provides a listing  of the tax rates.  </a:t>
          </a:r>
          <a:endParaRPr sz="1400"/>
        </a:p>
        <a:p>
          <a:pPr marL="0" marR="0" lvl="0" indent="0" algn="l" rtl="0">
            <a:lnSpc>
              <a:spcPct val="100000"/>
            </a:lnSpc>
            <a:spcBef>
              <a:spcPts val="0"/>
            </a:spcBef>
            <a:spcAft>
              <a:spcPts val="0"/>
            </a:spcAft>
            <a:buSzPts val="1100"/>
            <a:buFont typeface="Arial"/>
            <a:buNone/>
          </a:pPr>
          <a:endParaRPr sz="1100"/>
        </a:p>
        <a:p>
          <a:pPr marL="0" marR="0" lvl="0" indent="0" algn="l" rtl="0">
            <a:lnSpc>
              <a:spcPct val="100000"/>
            </a:lnSpc>
            <a:spcBef>
              <a:spcPts val="0"/>
            </a:spcBef>
            <a:spcAft>
              <a:spcPts val="0"/>
            </a:spcAft>
            <a:buSzPts val="1100"/>
            <a:buFont typeface="Arial"/>
            <a:buNone/>
          </a:pPr>
          <a:r>
            <a:rPr lang="en-US" sz="1100">
              <a:solidFill>
                <a:schemeClr val="dk1"/>
              </a:solidFill>
              <a:latin typeface="Calibri"/>
              <a:ea typeface="Calibri"/>
              <a:cs typeface="Calibri"/>
              <a:sym typeface="Calibri"/>
            </a:rPr>
            <a:t> Most local income taxes are based on a percentage of earned income (salary and wages) but some are a flat dollar amount per month or year.   Use your findings to </a:t>
          </a:r>
          <a:endParaRPr sz="1100"/>
        </a:p>
        <a:p>
          <a:pPr marL="0" lvl="0" indent="0" algn="l" rtl="0">
            <a:spcBef>
              <a:spcPts val="0"/>
            </a:spcBef>
            <a:spcAft>
              <a:spcPts val="0"/>
            </a:spcAft>
            <a:buNone/>
          </a:pPr>
          <a:r>
            <a:rPr lang="en-US" sz="1100">
              <a:solidFill>
                <a:schemeClr val="dk1"/>
              </a:solidFill>
              <a:latin typeface="Calibri"/>
              <a:ea typeface="Calibri"/>
              <a:cs typeface="Calibri"/>
              <a:sym typeface="Calibri"/>
            </a:rPr>
            <a:t>answer the questions in Column G.</a:t>
          </a:r>
          <a:endParaRPr sz="1400"/>
        </a:p>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r>
            <a:rPr lang="en-US" sz="1100">
              <a:solidFill>
                <a:schemeClr val="dk1"/>
              </a:solidFill>
              <a:latin typeface="Calibri"/>
              <a:ea typeface="Calibri"/>
              <a:cs typeface="Calibri"/>
              <a:sym typeface="Calibri"/>
            </a:rPr>
            <a:t> </a:t>
          </a:r>
          <a:endParaRPr sz="1400"/>
        </a:p>
        <a:p>
          <a:pPr marL="0" lvl="0" indent="0" algn="l" rtl="0">
            <a:spcBef>
              <a:spcPts val="0"/>
            </a:spcBef>
            <a:spcAft>
              <a:spcPts val="0"/>
            </a:spcAft>
            <a:buNone/>
          </a:pPr>
          <a:r>
            <a:rPr lang="en-US" sz="1100">
              <a:solidFill>
                <a:schemeClr val="dk1"/>
              </a:solidFill>
              <a:latin typeface="Calibri"/>
              <a:ea typeface="Calibri"/>
              <a:cs typeface="Calibri"/>
              <a:sym typeface="Calibri"/>
            </a:rPr>
            <a:t>	</a:t>
          </a:r>
          <a:endParaRPr sz="1400"/>
        </a:p>
        <a:p>
          <a:pPr marL="0" lvl="0" indent="0" algn="l" rtl="0">
            <a:spcBef>
              <a:spcPts val="0"/>
            </a:spcBef>
            <a:spcAft>
              <a:spcPts val="0"/>
            </a:spcAft>
            <a:buNone/>
          </a:pPr>
          <a:endParaRPr sz="1100"/>
        </a:p>
        <a:p>
          <a:pPr marL="0" lvl="0" indent="0" algn="l" rtl="0">
            <a:spcBef>
              <a:spcPts val="0"/>
            </a:spcBef>
            <a:spcAft>
              <a:spcPts val="0"/>
            </a:spcAft>
            <a:buNone/>
          </a:pPr>
          <a:r>
            <a:rPr lang="en-US" sz="1100">
              <a:solidFill>
                <a:schemeClr val="dk1"/>
              </a:solidFill>
              <a:latin typeface="Calibri"/>
              <a:ea typeface="Calibri"/>
              <a:cs typeface="Calibri"/>
              <a:sym typeface="Calibri"/>
            </a:rPr>
            <a:t>	</a:t>
          </a:r>
          <a:endParaRPr sz="1400"/>
        </a:p>
        <a:p>
          <a:pPr marL="0" lvl="0" indent="0" algn="l" rtl="0">
            <a:spcBef>
              <a:spcPts val="0"/>
            </a:spcBef>
            <a:spcAft>
              <a:spcPts val="0"/>
            </a:spcAft>
            <a:buNone/>
          </a:pPr>
          <a:r>
            <a:rPr lang="en-US" sz="1100">
              <a:solidFill>
                <a:schemeClr val="dk1"/>
              </a:solidFill>
              <a:latin typeface="Calibri"/>
              <a:ea typeface="Calibri"/>
              <a:cs typeface="Calibri"/>
              <a:sym typeface="Calibri"/>
            </a:rPr>
            <a:t> </a:t>
          </a:r>
          <a:endParaRPr sz="1400"/>
        </a:p>
        <a:p>
          <a:pPr marL="0" lvl="0" indent="0" algn="l" rtl="0">
            <a:spcBef>
              <a:spcPts val="0"/>
            </a:spcBef>
            <a:spcAft>
              <a:spcPts val="0"/>
            </a:spcAft>
            <a:buNone/>
          </a:pPr>
          <a:endParaRPr sz="1100"/>
        </a:p>
      </xdr:txBody>
    </xdr:sp>
    <xdr:clientData fLocksWithSheet="0"/>
  </xdr:oneCellAnchor>
  <xdr:oneCellAnchor>
    <xdr:from>
      <xdr:col>8</xdr:col>
      <xdr:colOff>238125</xdr:colOff>
      <xdr:row>2</xdr:row>
      <xdr:rowOff>142875</xdr:rowOff>
    </xdr:from>
    <xdr:ext cx="2152650" cy="704850"/>
    <xdr:sp macro="" textlink="">
      <xdr:nvSpPr>
        <xdr:cNvPr id="14" name="Shape 14">
          <a:extLst>
            <a:ext uri="{FF2B5EF4-FFF2-40B4-BE49-F238E27FC236}">
              <a16:creationId xmlns:a16="http://schemas.microsoft.com/office/drawing/2014/main" id="{00000000-0008-0000-0300-00000E000000}"/>
            </a:ext>
          </a:extLst>
        </xdr:cNvPr>
        <xdr:cNvSpPr txBox="1"/>
      </xdr:nvSpPr>
      <xdr:spPr>
        <a:xfrm>
          <a:off x="4274438" y="3432338"/>
          <a:ext cx="2143125" cy="695325"/>
        </a:xfrm>
        <a:prstGeom prst="rect">
          <a:avLst/>
        </a:prstGeom>
        <a:solidFill>
          <a:srgbClr val="DDEAF6"/>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dk1"/>
              </a:solidFill>
              <a:latin typeface="Calibri"/>
              <a:ea typeface="Calibri"/>
              <a:cs typeface="Calibri"/>
              <a:sym typeface="Calibri"/>
            </a:rPr>
            <a:t>Show calculations of local income tax if you will be subject to one.</a:t>
          </a:r>
          <a:endParaRPr sz="1100"/>
        </a:p>
      </xdr:txBody>
    </xdr:sp>
    <xdr:clientData fLocksWithSheet="0"/>
  </xdr:oneCellAnchor>
  <xdr:oneCellAnchor>
    <xdr:from>
      <xdr:col>7</xdr:col>
      <xdr:colOff>285750</xdr:colOff>
      <xdr:row>4</xdr:row>
      <xdr:rowOff>-28575</xdr:rowOff>
    </xdr:from>
    <xdr:ext cx="542925" cy="66675"/>
    <xdr:grpSp>
      <xdr:nvGrpSpPr>
        <xdr:cNvPr id="2" name="Shape 2">
          <a:extLst>
            <a:ext uri="{FF2B5EF4-FFF2-40B4-BE49-F238E27FC236}">
              <a16:creationId xmlns:a16="http://schemas.microsoft.com/office/drawing/2014/main" id="{00000000-0008-0000-0300-000002000000}"/>
            </a:ext>
          </a:extLst>
        </xdr:cNvPr>
        <xdr:cNvGrpSpPr/>
      </xdr:nvGrpSpPr>
      <xdr:grpSpPr>
        <a:xfrm>
          <a:off x="9575800" y="682625"/>
          <a:ext cx="542925" cy="66675"/>
          <a:chOff x="5074538" y="3775238"/>
          <a:chExt cx="542925" cy="9525"/>
        </a:xfrm>
      </xdr:grpSpPr>
      <xdr:cxnSp macro="">
        <xdr:nvCxnSpPr>
          <xdr:cNvPr id="7" name="Shape 7">
            <a:extLst>
              <a:ext uri="{FF2B5EF4-FFF2-40B4-BE49-F238E27FC236}">
                <a16:creationId xmlns:a16="http://schemas.microsoft.com/office/drawing/2014/main" id="{00000000-0008-0000-0300-000007000000}"/>
              </a:ext>
            </a:extLst>
          </xdr:cNvPr>
          <xdr:cNvCxnSpPr/>
        </xdr:nvCxnSpPr>
        <xdr:spPr>
          <a:xfrm flipH="1">
            <a:off x="5074538" y="3775238"/>
            <a:ext cx="542925" cy="9525"/>
          </a:xfrm>
          <a:prstGeom prst="straightConnector1">
            <a:avLst/>
          </a:prstGeom>
          <a:noFill/>
          <a:ln w="76200" cap="flat" cmpd="sng">
            <a:solidFill>
              <a:srgbClr val="FF0000"/>
            </a:solidFill>
            <a:prstDash val="solid"/>
            <a:miter lim="800000"/>
            <a:headEnd type="none" w="sm" len="sm"/>
            <a:tailEnd type="triangle" w="med" len="med"/>
          </a:ln>
        </xdr:spPr>
      </xdr:cxnSp>
    </xdr:grpSp>
    <xdr:clientData fLocksWithSheet="0"/>
  </xdr:oneCellAnchor>
</xdr:wsDr>
</file>

<file path=xl/drawings/drawing5.xml><?xml version="1.0" encoding="utf-8"?>
<xdr:wsDr xmlns:xdr="http://schemas.openxmlformats.org/drawingml/2006/spreadsheetDrawing" xmlns:a="http://schemas.openxmlformats.org/drawingml/2006/main">
  <xdr:oneCellAnchor>
    <xdr:from>
      <xdr:col>0</xdr:col>
      <xdr:colOff>28575</xdr:colOff>
      <xdr:row>2</xdr:row>
      <xdr:rowOff>-85725</xdr:rowOff>
    </xdr:from>
    <xdr:ext cx="6781800" cy="7562850"/>
    <xdr:sp macro="" textlink="">
      <xdr:nvSpPr>
        <xdr:cNvPr id="15" name="Shape 15">
          <a:extLst>
            <a:ext uri="{FF2B5EF4-FFF2-40B4-BE49-F238E27FC236}">
              <a16:creationId xmlns:a16="http://schemas.microsoft.com/office/drawing/2014/main" id="{00000000-0008-0000-0400-00000F000000}"/>
            </a:ext>
          </a:extLst>
        </xdr:cNvPr>
        <xdr:cNvSpPr txBox="1"/>
      </xdr:nvSpPr>
      <xdr:spPr>
        <a:xfrm>
          <a:off x="1964625" y="0"/>
          <a:ext cx="6762900" cy="8294400"/>
        </a:xfrm>
        <a:prstGeom prst="rect">
          <a:avLst/>
        </a:prstGeom>
        <a:solidFill>
          <a:srgbClr val="DDEAF6"/>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800" b="1" u="sng">
              <a:solidFill>
                <a:schemeClr val="dk1"/>
              </a:solidFill>
              <a:latin typeface="Calibri"/>
              <a:ea typeface="Calibri"/>
              <a:cs typeface="Calibri"/>
              <a:sym typeface="Calibri"/>
            </a:rPr>
            <a:t>Retirement plan contributions</a:t>
          </a:r>
          <a:endParaRPr sz="1800" b="1" u="sng">
            <a:solidFill>
              <a:schemeClr val="dk1"/>
            </a:solidFill>
            <a:latin typeface="Calibri"/>
            <a:ea typeface="Calibri"/>
            <a:cs typeface="Calibri"/>
            <a:sym typeface="Calibri"/>
          </a:endParaRPr>
        </a:p>
        <a:p>
          <a:pPr marL="0" lvl="0" indent="0" algn="l" rtl="0">
            <a:spcBef>
              <a:spcPts val="0"/>
            </a:spcBef>
            <a:spcAft>
              <a:spcPts val="0"/>
            </a:spcAft>
            <a:buNone/>
          </a:pPr>
          <a:endParaRPr sz="1100">
            <a:solidFill>
              <a:schemeClr val="dk1"/>
            </a:solidFill>
            <a:latin typeface="Calibri"/>
            <a:ea typeface="Calibri"/>
            <a:cs typeface="Calibri"/>
            <a:sym typeface="Calibri"/>
          </a:endParaRPr>
        </a:p>
        <a:p>
          <a:pPr marL="0" lvl="0" indent="0" algn="l" rtl="0">
            <a:spcBef>
              <a:spcPts val="0"/>
            </a:spcBef>
            <a:spcAft>
              <a:spcPts val="0"/>
            </a:spcAft>
            <a:buNone/>
          </a:pPr>
          <a:r>
            <a:rPr lang="en-US" sz="1200">
              <a:solidFill>
                <a:schemeClr val="dk1"/>
              </a:solidFill>
              <a:latin typeface="Calibri"/>
              <a:ea typeface="Calibri"/>
              <a:cs typeface="Calibri"/>
              <a:sym typeface="Calibri"/>
            </a:rPr>
            <a:t>Before we can do the Federal income tax calculations, you'll have to make some decisions about how much money you want to contribute to tax-advantaged retirement accounts during the year.</a:t>
          </a:r>
          <a:endParaRPr sz="1400"/>
        </a:p>
        <a:p>
          <a:pPr marL="0" lvl="0" indent="0" algn="l" rtl="0">
            <a:spcBef>
              <a:spcPts val="0"/>
            </a:spcBef>
            <a:spcAft>
              <a:spcPts val="0"/>
            </a:spcAft>
            <a:buNone/>
          </a:pPr>
          <a:endParaRPr sz="1200">
            <a:solidFill>
              <a:schemeClr val="dk1"/>
            </a:solidFill>
            <a:latin typeface="Calibri"/>
            <a:ea typeface="Calibri"/>
            <a:cs typeface="Calibri"/>
            <a:sym typeface="Calibri"/>
          </a:endParaRPr>
        </a:p>
        <a:p>
          <a:pPr marL="0" lvl="0" indent="0" algn="l" rtl="0">
            <a:spcBef>
              <a:spcPts val="0"/>
            </a:spcBef>
            <a:spcAft>
              <a:spcPts val="0"/>
            </a:spcAft>
            <a:buNone/>
          </a:pPr>
          <a:r>
            <a:rPr lang="en-US" sz="1200">
              <a:solidFill>
                <a:schemeClr val="dk1"/>
              </a:solidFill>
              <a:latin typeface="Calibri"/>
              <a:ea typeface="Calibri"/>
              <a:cs typeface="Calibri"/>
              <a:sym typeface="Calibri"/>
            </a:rPr>
            <a:t>Keep the following in mind:</a:t>
          </a:r>
          <a:endParaRPr sz="1400"/>
        </a:p>
        <a:p>
          <a:pPr marL="0" lvl="0" indent="0" algn="l" rtl="0">
            <a:spcBef>
              <a:spcPts val="0"/>
            </a:spcBef>
            <a:spcAft>
              <a:spcPts val="0"/>
            </a:spcAft>
            <a:buNone/>
          </a:pPr>
          <a:endParaRPr sz="1200">
            <a:solidFill>
              <a:schemeClr val="dk1"/>
            </a:solidFill>
            <a:latin typeface="Calibri"/>
            <a:ea typeface="Calibri"/>
            <a:cs typeface="Calibri"/>
            <a:sym typeface="Calibri"/>
          </a:endParaRPr>
        </a:p>
        <a:p>
          <a:pPr marL="0" marR="0" lvl="0" indent="0" algn="l" rtl="0">
            <a:lnSpc>
              <a:spcPct val="100000"/>
            </a:lnSpc>
            <a:spcBef>
              <a:spcPts val="0"/>
            </a:spcBef>
            <a:spcAft>
              <a:spcPts val="0"/>
            </a:spcAft>
            <a:buClr>
              <a:schemeClr val="dk1"/>
            </a:buClr>
            <a:buSzPts val="1100"/>
            <a:buFont typeface="Calibri"/>
            <a:buNone/>
          </a:pPr>
          <a:r>
            <a:rPr lang="en-US" sz="1100" b="1">
              <a:solidFill>
                <a:schemeClr val="dk1"/>
              </a:solidFill>
              <a:latin typeface="Calibri"/>
              <a:ea typeface="Calibri"/>
              <a:cs typeface="Calibri"/>
              <a:sym typeface="Calibri"/>
            </a:rPr>
            <a:t>Step 1: How much should you contribute in each year?   </a:t>
          </a:r>
          <a:r>
            <a:rPr lang="en-US" sz="1100">
              <a:solidFill>
                <a:schemeClr val="dk1"/>
              </a:solidFill>
              <a:latin typeface="Calibri"/>
              <a:ea typeface="Calibri"/>
              <a:cs typeface="Calibri"/>
              <a:sym typeface="Calibri"/>
            </a:rPr>
            <a:t>Experts recommend saving 10-15% of your gross salary each year for retirement.  Calculate these benchmarks in the first green box to the right.</a:t>
          </a:r>
          <a:endParaRPr sz="1400"/>
        </a:p>
        <a:p>
          <a:pPr marL="0" marR="0" lvl="0" indent="0" algn="l" rtl="0">
            <a:lnSpc>
              <a:spcPct val="100000"/>
            </a:lnSpc>
            <a:spcBef>
              <a:spcPts val="0"/>
            </a:spcBef>
            <a:spcAft>
              <a:spcPts val="0"/>
            </a:spcAft>
            <a:buSzPts val="1100"/>
            <a:buFont typeface="Arial"/>
            <a:buNone/>
          </a:pPr>
          <a:endParaRPr sz="1100">
            <a:solidFill>
              <a:schemeClr val="dk1"/>
            </a:solidFill>
            <a:latin typeface="Calibri"/>
            <a:ea typeface="Calibri"/>
            <a:cs typeface="Calibri"/>
            <a:sym typeface="Calibri"/>
          </a:endParaRPr>
        </a:p>
        <a:p>
          <a:pPr marL="0" marR="0" lvl="0" indent="0" algn="l" rtl="0">
            <a:lnSpc>
              <a:spcPct val="100000"/>
            </a:lnSpc>
            <a:spcBef>
              <a:spcPts val="0"/>
            </a:spcBef>
            <a:spcAft>
              <a:spcPts val="0"/>
            </a:spcAft>
            <a:buClr>
              <a:schemeClr val="dk1"/>
            </a:buClr>
            <a:buSzPts val="1100"/>
            <a:buFont typeface="Calibri"/>
            <a:buNone/>
          </a:pPr>
          <a:r>
            <a:rPr lang="en-US" sz="1100" b="1">
              <a:solidFill>
                <a:schemeClr val="dk1"/>
              </a:solidFill>
              <a:latin typeface="Calibri"/>
              <a:ea typeface="Calibri"/>
              <a:cs typeface="Calibri"/>
              <a:sym typeface="Calibri"/>
            </a:rPr>
            <a:t>Step 2: The total amount you contribute during the year can be split between 401(k), ROTH 401(k) , traditional IRA, and ROTH IRAs.   Here are some 2025 tax rules to help you make your decision:</a:t>
          </a:r>
          <a:endParaRPr sz="1200" b="1"/>
        </a:p>
        <a:p>
          <a:pPr marL="0" lvl="0" indent="0" algn="l" rtl="0">
            <a:spcBef>
              <a:spcPts val="0"/>
            </a:spcBef>
            <a:spcAft>
              <a:spcPts val="0"/>
            </a:spcAft>
            <a:buNone/>
          </a:pPr>
          <a:endParaRPr sz="1200">
            <a:solidFill>
              <a:schemeClr val="dk1"/>
            </a:solidFill>
            <a:latin typeface="Calibri"/>
            <a:ea typeface="Calibri"/>
            <a:cs typeface="Calibri"/>
            <a:sym typeface="Calibri"/>
          </a:endParaRPr>
        </a:p>
        <a:p>
          <a:pPr marL="0" marR="0" lvl="0" indent="0" algn="l" rtl="0">
            <a:lnSpc>
              <a:spcPct val="100000"/>
            </a:lnSpc>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1) You can contribute up to $23,500 per year into a 401(k)  OR into a ROTH 401k, if your company has one.   While most companies have traditional 401k plans, only 50% of large companies offer a Roth version.  So if you know you won't be working at a BIG company, assumue you won't have access to a Roth 401k.  In total, you may only contribute up to $23,500 per year into either of these accounts (or a combination of the accounts).   </a:t>
          </a:r>
          <a:endParaRPr sz="1400"/>
        </a:p>
        <a:p>
          <a:pPr marL="0" marR="0" lvl="0" indent="0" algn="l" rtl="0">
            <a:lnSpc>
              <a:spcPct val="100000"/>
            </a:lnSpc>
            <a:spcBef>
              <a:spcPts val="0"/>
            </a:spcBef>
            <a:spcAft>
              <a:spcPts val="0"/>
            </a:spcAft>
            <a:buSzPts val="1100"/>
            <a:buFont typeface="Arial"/>
            <a:buNone/>
          </a:pPr>
          <a:endParaRPr sz="1100">
            <a:solidFill>
              <a:schemeClr val="dk1"/>
            </a:solidFill>
            <a:latin typeface="Calibri"/>
            <a:ea typeface="Calibri"/>
            <a:cs typeface="Calibri"/>
            <a:sym typeface="Calibri"/>
          </a:endParaRPr>
        </a:p>
        <a:p>
          <a:pPr marL="0" marR="0" lvl="0" indent="0" algn="l" rtl="0">
            <a:lnSpc>
              <a:spcPct val="100000"/>
            </a:lnSpc>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2 Keep the following in mind:   Any contributions you make to a traditional 401k are tax-deductible:   meaning you get a tax break in the year you make the contribution.   You will eventually be taxed on the investment earnings when you withdraw the money during retirement.   On the other hand, any contributions you make to a Roth 401k are NOT tax-deductible: meaning you DON'T get a tax break in the year you make the contribution.   However, you will NEVER be taxed on the investment earnings in the account.   </a:t>
          </a:r>
          <a:endParaRPr sz="1400"/>
        </a:p>
        <a:p>
          <a:pPr marL="0" marR="0" lvl="0" indent="0" algn="l" rtl="0">
            <a:lnSpc>
              <a:spcPct val="100000"/>
            </a:lnSpc>
            <a:spcBef>
              <a:spcPts val="0"/>
            </a:spcBef>
            <a:spcAft>
              <a:spcPts val="0"/>
            </a:spcAft>
            <a:buSzPts val="1100"/>
            <a:buFont typeface="Arial"/>
            <a:buNone/>
          </a:pPr>
          <a:endParaRPr sz="1100">
            <a:solidFill>
              <a:schemeClr val="dk1"/>
            </a:solidFill>
            <a:latin typeface="Calibri"/>
            <a:ea typeface="Calibri"/>
            <a:cs typeface="Calibri"/>
            <a:sym typeface="Calibri"/>
          </a:endParaRPr>
        </a:p>
        <a:p>
          <a:pPr marL="0" marR="0" lvl="0" indent="0" algn="l" rtl="0">
            <a:lnSpc>
              <a:spcPct val="100000"/>
            </a:lnSpc>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3) You can contribute up to $7000 MAX per year in either a traditional IRA or a Roth IRA, or a combination of the two types of IRAs (say $3,000 in one and $4,000 in the other= $7,000 max).   However,  if you make over $161,000 per year you can NOT contribute to a Roth IRA per IRS rules. (If you make between $146,000 and $161,000, you may have some reduction in the amount you can contribute.)  Note these are the limits for a single individual - there are other limits if you are married.  See IRS.gov for more details if needed.</a:t>
          </a:r>
          <a:endParaRPr sz="1200"/>
        </a:p>
        <a:p>
          <a:pPr marL="0" lvl="0" indent="0" algn="l" rtl="0">
            <a:spcBef>
              <a:spcPts val="0"/>
            </a:spcBef>
            <a:spcAft>
              <a:spcPts val="0"/>
            </a:spcAft>
            <a:buNone/>
          </a:pPr>
          <a:endParaRPr sz="1200">
            <a:solidFill>
              <a:schemeClr val="dk1"/>
            </a:solidFill>
            <a:latin typeface="Calibri"/>
            <a:ea typeface="Calibri"/>
            <a:cs typeface="Calibri"/>
            <a:sym typeface="Calibri"/>
          </a:endParaRPr>
        </a:p>
        <a:p>
          <a:pPr marL="0" lvl="0" indent="0" algn="l" rtl="0">
            <a:spcBef>
              <a:spcPts val="0"/>
            </a:spcBef>
            <a:spcAft>
              <a:spcPts val="0"/>
            </a:spcAft>
            <a:buNone/>
          </a:pPr>
          <a:r>
            <a:rPr lang="en-US" sz="1200">
              <a:solidFill>
                <a:schemeClr val="dk1"/>
              </a:solidFill>
              <a:latin typeface="Calibri"/>
              <a:ea typeface="Calibri"/>
              <a:cs typeface="Calibri"/>
              <a:sym typeface="Calibri"/>
            </a:rPr>
            <a:t>4) </a:t>
          </a:r>
          <a:r>
            <a:rPr lang="en-US" sz="1100">
              <a:solidFill>
                <a:schemeClr val="dk1"/>
              </a:solidFill>
              <a:latin typeface="Calibri"/>
              <a:ea typeface="Calibri"/>
              <a:cs typeface="Calibri"/>
              <a:sym typeface="Calibri"/>
            </a:rPr>
            <a:t>If your company has a 401(k) plan and your salary is above $84,000, then you will NOT get a tax deduction for traditional IRA contributions.   Therefore, in this situation your best bet is to stick with the traditional 401(k) to get the deduction.   (If you are singl with income between 74K and 84K you may get a partial deduction.  You are married, other income limit levels apply and you'd want to check irs.gov for more guidance.)</a:t>
          </a:r>
          <a:endParaRPr sz="1100">
            <a:solidFill>
              <a:schemeClr val="dk1"/>
            </a:solidFill>
            <a:latin typeface="Calibri"/>
            <a:ea typeface="Calibri"/>
            <a:cs typeface="Calibri"/>
            <a:sym typeface="Calibri"/>
          </a:endParaRPr>
        </a:p>
        <a:p>
          <a:pPr marL="0" lvl="0" indent="0" algn="l" rtl="0">
            <a:spcBef>
              <a:spcPts val="0"/>
            </a:spcBef>
            <a:spcAft>
              <a:spcPts val="0"/>
            </a:spcAft>
            <a:buNone/>
          </a:pPr>
          <a:endParaRPr sz="1100">
            <a:solidFill>
              <a:schemeClr val="dk1"/>
            </a:solidFill>
            <a:latin typeface="Calibri"/>
            <a:ea typeface="Calibri"/>
            <a:cs typeface="Calibri"/>
            <a:sym typeface="Calibri"/>
          </a:endParaRPr>
        </a:p>
        <a:p>
          <a:pPr marL="0" lvl="0" indent="0" algn="l" rtl="0">
            <a:spcBef>
              <a:spcPts val="0"/>
            </a:spcBef>
            <a:spcAft>
              <a:spcPts val="0"/>
            </a:spcAft>
            <a:buNone/>
          </a:pPr>
          <a:r>
            <a:rPr lang="en-US" sz="1100">
              <a:solidFill>
                <a:schemeClr val="dk1"/>
              </a:solidFill>
              <a:latin typeface="Calibri"/>
              <a:ea typeface="Calibri"/>
              <a:cs typeface="Calibri"/>
              <a:sym typeface="Calibri"/>
            </a:rPr>
            <a:t>5) My advice?   Use the Roth accounts while you are young, have time on your side, and have lower salaries.   Some day you will thank yourself for all of that tax-free investment earnings!</a:t>
          </a:r>
          <a:endParaRPr sz="1100">
            <a:solidFill>
              <a:schemeClr val="dk1"/>
            </a:solidFill>
            <a:latin typeface="Calibri"/>
            <a:ea typeface="Calibri"/>
            <a:cs typeface="Calibri"/>
            <a:sym typeface="Calibri"/>
          </a:endParaRPr>
        </a:p>
        <a:p>
          <a:pPr marL="0" lvl="0" indent="0" algn="l" rtl="0">
            <a:spcBef>
              <a:spcPts val="0"/>
            </a:spcBef>
            <a:spcAft>
              <a:spcPts val="0"/>
            </a:spcAft>
            <a:buNone/>
          </a:pPr>
          <a:endParaRPr sz="1400"/>
        </a:p>
        <a:p>
          <a:pPr marL="0" lvl="0" indent="0" algn="l" rtl="0">
            <a:spcBef>
              <a:spcPts val="0"/>
            </a:spcBef>
            <a:spcAft>
              <a:spcPts val="0"/>
            </a:spcAft>
            <a:buNone/>
          </a:pPr>
          <a:r>
            <a:rPr lang="en-US" sz="1200" b="1" u="sng">
              <a:solidFill>
                <a:schemeClr val="dk1"/>
              </a:solidFill>
              <a:latin typeface="Calibri"/>
              <a:ea typeface="Calibri"/>
              <a:cs typeface="Calibri"/>
              <a:sym typeface="Calibri"/>
            </a:rPr>
            <a:t>STRATEGY to make best use of employer's matching contributions </a:t>
          </a:r>
          <a:endParaRPr sz="1400"/>
        </a:p>
        <a:p>
          <a:pPr marL="0" lvl="0" indent="0" algn="l" rtl="0">
            <a:spcBef>
              <a:spcPts val="0"/>
            </a:spcBef>
            <a:spcAft>
              <a:spcPts val="0"/>
            </a:spcAft>
            <a:buNone/>
          </a:pPr>
          <a:r>
            <a:rPr lang="en-US" sz="1200">
              <a:solidFill>
                <a:schemeClr val="dk1"/>
              </a:solidFill>
              <a:latin typeface="Calibri"/>
              <a:ea typeface="Calibri"/>
              <a:cs typeface="Calibri"/>
              <a:sym typeface="Calibri"/>
            </a:rPr>
            <a:t> Assume your employer’s 401(k) plan will offer a match of up to 3% of your salary.  So, to get the free money (match), you would want to contribute a minimum of 3% of your annual salary to the 401(k) plan.    If you want to save 10%-15% in total, that means that in addition to the 3% going into your 401(k), another 7-12% of your annual salary should be contributed to a ROTH IRA, a traditional IRA, or more to the 401(k).  Your exact strategy will  be influenced by the IRS rules summarized above, as well as whether you want the tax-advantage now, when making contributions (401k or IRA) or later, when you are retired (Roth IRA).</a:t>
          </a:r>
          <a:endParaRPr sz="1200">
            <a:solidFill>
              <a:schemeClr val="dk1"/>
            </a:solidFill>
            <a:latin typeface="Calibri"/>
            <a:ea typeface="Calibri"/>
            <a:cs typeface="Calibri"/>
            <a:sym typeface="Calibri"/>
          </a:endParaRPr>
        </a:p>
      </xdr:txBody>
    </xdr:sp>
    <xdr:clientData fLocksWithSheet="0"/>
  </xdr:oneCellAnchor>
  <xdr:oneCellAnchor>
    <xdr:from>
      <xdr:col>13</xdr:col>
      <xdr:colOff>742950</xdr:colOff>
      <xdr:row>11</xdr:row>
      <xdr:rowOff>9525</xdr:rowOff>
    </xdr:from>
    <xdr:ext cx="1123950" cy="190500"/>
    <xdr:grpSp>
      <xdr:nvGrpSpPr>
        <xdr:cNvPr id="2" name="Shape 2" title="Drawing">
          <a:extLst>
            <a:ext uri="{FF2B5EF4-FFF2-40B4-BE49-F238E27FC236}">
              <a16:creationId xmlns:a16="http://schemas.microsoft.com/office/drawing/2014/main" id="{00000000-0008-0000-0400-000002000000}"/>
            </a:ext>
          </a:extLst>
        </xdr:cNvPr>
        <xdr:cNvGrpSpPr/>
      </xdr:nvGrpSpPr>
      <xdr:grpSpPr>
        <a:xfrm>
          <a:off x="11055350" y="1965325"/>
          <a:ext cx="1123950" cy="190500"/>
          <a:chOff x="5074538" y="3775238"/>
          <a:chExt cx="542925" cy="9525"/>
        </a:xfrm>
      </xdr:grpSpPr>
      <xdr:cxnSp macro="">
        <xdr:nvCxnSpPr>
          <xdr:cNvPr id="7" name="Shape 7">
            <a:extLst>
              <a:ext uri="{FF2B5EF4-FFF2-40B4-BE49-F238E27FC236}">
                <a16:creationId xmlns:a16="http://schemas.microsoft.com/office/drawing/2014/main" id="{00000000-0008-0000-0400-000007000000}"/>
              </a:ext>
            </a:extLst>
          </xdr:cNvPr>
          <xdr:cNvCxnSpPr/>
        </xdr:nvCxnSpPr>
        <xdr:spPr>
          <a:xfrm flipH="1">
            <a:off x="5074538" y="3775238"/>
            <a:ext cx="542925" cy="9525"/>
          </a:xfrm>
          <a:prstGeom prst="straightConnector1">
            <a:avLst/>
          </a:prstGeom>
          <a:noFill/>
          <a:ln w="76200" cap="flat" cmpd="sng">
            <a:solidFill>
              <a:srgbClr val="FF0000"/>
            </a:solidFill>
            <a:prstDash val="solid"/>
            <a:miter lim="800000"/>
            <a:headEnd type="none" w="sm" len="sm"/>
            <a:tailEnd type="triangle" w="med" len="med"/>
          </a:ln>
        </xdr:spPr>
      </xdr:cxnSp>
    </xdr:grpSp>
    <xdr:clientData fLocksWithSheet="0"/>
  </xdr:oneCellAnchor>
  <xdr:oneCellAnchor>
    <xdr:from>
      <xdr:col>16</xdr:col>
      <xdr:colOff>104775</xdr:colOff>
      <xdr:row>9</xdr:row>
      <xdr:rowOff>180975</xdr:rowOff>
    </xdr:from>
    <xdr:ext cx="1771650" cy="1809750"/>
    <xdr:sp macro="" textlink="">
      <xdr:nvSpPr>
        <xdr:cNvPr id="16" name="Shape 16">
          <a:extLst>
            <a:ext uri="{FF2B5EF4-FFF2-40B4-BE49-F238E27FC236}">
              <a16:creationId xmlns:a16="http://schemas.microsoft.com/office/drawing/2014/main" id="{00000000-0008-0000-0400-000010000000}"/>
            </a:ext>
          </a:extLst>
        </xdr:cNvPr>
        <xdr:cNvSpPr txBox="1"/>
      </xdr:nvSpPr>
      <xdr:spPr>
        <a:xfrm>
          <a:off x="4460175" y="2879888"/>
          <a:ext cx="1771650" cy="1800225"/>
        </a:xfrm>
        <a:prstGeom prst="rect">
          <a:avLst/>
        </a:prstGeom>
        <a:solidFill>
          <a:srgbClr val="DDEAF6"/>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dk1"/>
              </a:solidFill>
              <a:latin typeface="Calibri"/>
              <a:ea typeface="Calibri"/>
              <a:cs typeface="Calibri"/>
              <a:sym typeface="Calibri"/>
            </a:rPr>
            <a:t>This is your own personal decision.  First, decide the total amount you want to contribute.   Then, split it up.  You may have some, none, or each of the four, but you must follow the IRS rules to the left.</a:t>
          </a:r>
          <a:endParaRPr sz="1400"/>
        </a:p>
      </xdr:txBody>
    </xdr:sp>
    <xdr:clientData fLocksWithSheet="0"/>
  </xdr:oneCellAnchor>
</xdr:wsDr>
</file>

<file path=xl/drawings/drawing6.xml><?xml version="1.0" encoding="utf-8"?>
<xdr:wsDr xmlns:xdr="http://schemas.openxmlformats.org/drawingml/2006/spreadsheetDrawing" xmlns:a="http://schemas.openxmlformats.org/drawingml/2006/main">
  <xdr:oneCellAnchor>
    <xdr:from>
      <xdr:col>0</xdr:col>
      <xdr:colOff>104775</xdr:colOff>
      <xdr:row>0</xdr:row>
      <xdr:rowOff>146050</xdr:rowOff>
    </xdr:from>
    <xdr:ext cx="5429250" cy="5934075"/>
    <xdr:sp macro="" textlink="">
      <xdr:nvSpPr>
        <xdr:cNvPr id="17" name="Shape 17">
          <a:extLst>
            <a:ext uri="{FF2B5EF4-FFF2-40B4-BE49-F238E27FC236}">
              <a16:creationId xmlns:a16="http://schemas.microsoft.com/office/drawing/2014/main" id="{00000000-0008-0000-0500-000011000000}"/>
            </a:ext>
          </a:extLst>
        </xdr:cNvPr>
        <xdr:cNvSpPr txBox="1"/>
      </xdr:nvSpPr>
      <xdr:spPr>
        <a:xfrm>
          <a:off x="104775" y="146050"/>
          <a:ext cx="5429250" cy="5934075"/>
        </a:xfrm>
        <a:prstGeom prst="rect">
          <a:avLst/>
        </a:prstGeom>
        <a:solidFill>
          <a:srgbClr val="DDEAF6"/>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800" b="1" u="sng">
              <a:solidFill>
                <a:schemeClr val="dk1"/>
              </a:solidFill>
              <a:latin typeface="Calibri"/>
              <a:ea typeface="Calibri"/>
              <a:cs typeface="Calibri"/>
              <a:sym typeface="Calibri"/>
            </a:rPr>
            <a:t>Federal Income Taxes</a:t>
          </a:r>
          <a:endParaRPr sz="1400"/>
        </a:p>
        <a:p>
          <a:pPr marL="0" lvl="0" indent="0" algn="l" rtl="0">
            <a:spcBef>
              <a:spcPts val="0"/>
            </a:spcBef>
            <a:spcAft>
              <a:spcPts val="0"/>
            </a:spcAft>
            <a:buNone/>
          </a:pPr>
          <a:endParaRPr sz="1200"/>
        </a:p>
        <a:p>
          <a:pPr marL="0" lvl="0" indent="0" algn="l" rtl="0">
            <a:spcBef>
              <a:spcPts val="0"/>
            </a:spcBef>
            <a:spcAft>
              <a:spcPts val="0"/>
            </a:spcAft>
            <a:buNone/>
          </a:pPr>
          <a:r>
            <a:rPr lang="en-US" sz="1200">
              <a:solidFill>
                <a:schemeClr val="dk1"/>
              </a:solidFill>
              <a:latin typeface="Calibri"/>
              <a:ea typeface="Calibri"/>
              <a:cs typeface="Calibri"/>
              <a:sym typeface="Calibri"/>
            </a:rPr>
            <a:t>On this sheet you'll be calculating your 1) taxable income and 2) federal income tax.</a:t>
          </a:r>
          <a:endParaRPr sz="1400"/>
        </a:p>
        <a:p>
          <a:pPr marL="0" lvl="0" indent="0" algn="l" rtl="0">
            <a:spcBef>
              <a:spcPts val="0"/>
            </a:spcBef>
            <a:spcAft>
              <a:spcPts val="0"/>
            </a:spcAft>
            <a:buNone/>
          </a:pPr>
          <a:endParaRPr sz="1200"/>
        </a:p>
        <a:p>
          <a:pPr marL="0" lvl="0" indent="0" algn="l" rtl="0">
            <a:spcBef>
              <a:spcPts val="0"/>
            </a:spcBef>
            <a:spcAft>
              <a:spcPts val="0"/>
            </a:spcAft>
            <a:buNone/>
          </a:pPr>
          <a:r>
            <a:rPr lang="en-US" sz="1200">
              <a:solidFill>
                <a:schemeClr val="dk1"/>
              </a:solidFill>
              <a:latin typeface="Calibri"/>
              <a:ea typeface="Calibri"/>
              <a:cs typeface="Calibri"/>
              <a:sym typeface="Calibri"/>
            </a:rPr>
            <a:t>You MUST do the calculations for the WHOLE YEAR, before finding the amounts that would impact your monthly budget.</a:t>
          </a:r>
          <a:endParaRPr sz="1400"/>
        </a:p>
        <a:p>
          <a:pPr marL="0" lvl="0" indent="0" algn="l" rtl="0">
            <a:spcBef>
              <a:spcPts val="0"/>
            </a:spcBef>
            <a:spcAft>
              <a:spcPts val="0"/>
            </a:spcAft>
            <a:buNone/>
          </a:pPr>
          <a:endParaRPr sz="1200"/>
        </a:p>
        <a:p>
          <a:pPr marL="0" lvl="0" indent="0" algn="l" rtl="0">
            <a:spcBef>
              <a:spcPts val="0"/>
            </a:spcBef>
            <a:spcAft>
              <a:spcPts val="0"/>
            </a:spcAft>
            <a:buNone/>
          </a:pPr>
          <a:r>
            <a:rPr lang="en-US" sz="1200">
              <a:solidFill>
                <a:schemeClr val="dk1"/>
              </a:solidFill>
              <a:latin typeface="Calibri"/>
              <a:ea typeface="Calibri"/>
              <a:cs typeface="Calibri"/>
              <a:sym typeface="Calibri"/>
            </a:rPr>
            <a:t>Where possible, in  the yellow boxes, use cell references to figures on earlier worksheets.  </a:t>
          </a:r>
          <a:endParaRPr sz="1400"/>
        </a:p>
        <a:p>
          <a:pPr marL="0" lvl="0" indent="0" algn="l" rtl="0">
            <a:spcBef>
              <a:spcPts val="0"/>
            </a:spcBef>
            <a:spcAft>
              <a:spcPts val="0"/>
            </a:spcAft>
            <a:buNone/>
          </a:pPr>
          <a:endParaRPr sz="1200"/>
        </a:p>
        <a:p>
          <a:pPr marL="0" lvl="0" indent="0" algn="l" rtl="0">
            <a:spcBef>
              <a:spcPts val="0"/>
            </a:spcBef>
            <a:spcAft>
              <a:spcPts val="0"/>
            </a:spcAft>
            <a:buNone/>
          </a:pPr>
          <a:r>
            <a:rPr lang="en-US" sz="1200">
              <a:solidFill>
                <a:schemeClr val="dk1"/>
              </a:solidFill>
              <a:latin typeface="Calibri"/>
              <a:ea typeface="Calibri"/>
              <a:cs typeface="Calibri"/>
              <a:sym typeface="Calibri"/>
            </a:rPr>
            <a:t>If you are self-employed, you may deduct your health insurance and half of your FICA tax as business expenses when arriving at taxable income.   Leave me a note if that's the case.</a:t>
          </a:r>
          <a:endParaRPr sz="1400"/>
        </a:p>
        <a:p>
          <a:pPr marL="0" lvl="0" indent="0" algn="l" rtl="0">
            <a:spcBef>
              <a:spcPts val="0"/>
            </a:spcBef>
            <a:spcAft>
              <a:spcPts val="0"/>
            </a:spcAft>
            <a:buNone/>
          </a:pPr>
          <a:endParaRPr sz="1200"/>
        </a:p>
        <a:p>
          <a:pPr marL="0" lvl="0" indent="0" algn="l" rtl="0">
            <a:spcBef>
              <a:spcPts val="0"/>
            </a:spcBef>
            <a:spcAft>
              <a:spcPts val="0"/>
            </a:spcAft>
            <a:buNone/>
          </a:pPr>
          <a:r>
            <a:rPr lang="en-US" sz="1200" b="1" u="sng">
              <a:solidFill>
                <a:schemeClr val="dk1"/>
              </a:solidFill>
              <a:latin typeface="Calibri"/>
              <a:ea typeface="Calibri"/>
              <a:cs typeface="Calibri"/>
              <a:sym typeface="Calibri"/>
            </a:rPr>
            <a:t>IF YOU HAVE STUDENT LOANS you may be eligible for a tax deduction: </a:t>
          </a:r>
          <a:endParaRPr sz="1400"/>
        </a:p>
        <a:p>
          <a:pPr marL="0" lvl="0" indent="0" algn="l" rtl="0">
            <a:spcBef>
              <a:spcPts val="0"/>
            </a:spcBef>
            <a:spcAft>
              <a:spcPts val="0"/>
            </a:spcAft>
            <a:buNone/>
          </a:pPr>
          <a:endParaRPr sz="1200" b="1" u="sng"/>
        </a:p>
        <a:p>
          <a:pPr marL="0" lvl="0" indent="0" algn="l" rtl="0">
            <a:spcBef>
              <a:spcPts val="0"/>
            </a:spcBef>
            <a:spcAft>
              <a:spcPts val="0"/>
            </a:spcAft>
            <a:buNone/>
          </a:pPr>
          <a:r>
            <a:rPr lang="en-US" sz="1200" b="0" u="none">
              <a:solidFill>
                <a:schemeClr val="dk1"/>
              </a:solidFill>
              <a:latin typeface="Calibri"/>
              <a:ea typeface="Calibri"/>
              <a:cs typeface="Calibri"/>
              <a:sym typeface="Calibri"/>
            </a:rPr>
            <a:t>If your yearly income, after subtracting only 401k contributions, is greater than $90,000, then you are NOT eligible for this deduction.   However, if it is LESS THAN $90,000, read on:</a:t>
          </a:r>
          <a:endParaRPr sz="1400"/>
        </a:p>
        <a:p>
          <a:pPr marL="0" lvl="0" indent="0" algn="l" rtl="0">
            <a:spcBef>
              <a:spcPts val="0"/>
            </a:spcBef>
            <a:spcAft>
              <a:spcPts val="0"/>
            </a:spcAft>
            <a:buNone/>
          </a:pPr>
          <a:endParaRPr sz="1200"/>
        </a:p>
        <a:p>
          <a:pPr marL="0" lvl="0" indent="0" algn="l" rtl="0">
            <a:spcBef>
              <a:spcPts val="0"/>
            </a:spcBef>
            <a:spcAft>
              <a:spcPts val="0"/>
            </a:spcAft>
            <a:buNone/>
          </a:pPr>
          <a:r>
            <a:rPr lang="en-US" sz="1200">
              <a:solidFill>
                <a:schemeClr val="dk1"/>
              </a:solidFill>
              <a:latin typeface="Calibri"/>
              <a:ea typeface="Calibri"/>
              <a:cs typeface="Calibri"/>
              <a:sym typeface="Calibri"/>
            </a:rPr>
            <a:t>Before calculating taxes, calculate your approximate interest on student loans (below).  You should have this information from doing the Life Application Activity on Student Loans. </a:t>
          </a:r>
          <a:endParaRPr sz="1400"/>
        </a:p>
        <a:p>
          <a:pPr marL="0" lvl="0" indent="0" algn="l" rtl="0">
            <a:spcBef>
              <a:spcPts val="0"/>
            </a:spcBef>
            <a:spcAft>
              <a:spcPts val="0"/>
            </a:spcAft>
            <a:buNone/>
          </a:pPr>
          <a:endParaRPr sz="1200"/>
        </a:p>
        <a:p>
          <a:pPr marL="0" lvl="0" indent="0" algn="l" rtl="0">
            <a:spcBef>
              <a:spcPts val="0"/>
            </a:spcBef>
            <a:spcAft>
              <a:spcPts val="0"/>
            </a:spcAft>
            <a:buNone/>
          </a:pPr>
          <a:r>
            <a:rPr lang="en-US" sz="1200">
              <a:solidFill>
                <a:schemeClr val="dk1"/>
              </a:solidFill>
              <a:latin typeface="Calibri"/>
              <a:ea typeface="Calibri"/>
              <a:cs typeface="Calibri"/>
              <a:sym typeface="Calibri"/>
            </a:rPr>
            <a:t>If you have loans from multiple years you can estimate the total interest using an average interest rate across all years OR you can do a more precise calculation, using each years' rate with each year's loan. </a:t>
          </a:r>
          <a:endParaRPr sz="1400"/>
        </a:p>
        <a:p>
          <a:pPr marL="0" lvl="0" indent="0" algn="l" rtl="0">
            <a:spcBef>
              <a:spcPts val="0"/>
            </a:spcBef>
            <a:spcAft>
              <a:spcPts val="0"/>
            </a:spcAft>
            <a:buNone/>
          </a:pPr>
          <a:endParaRPr sz="1200"/>
        </a:p>
        <a:p>
          <a:pPr marL="0" lvl="0" indent="0" algn="l" rtl="0">
            <a:spcBef>
              <a:spcPts val="0"/>
            </a:spcBef>
            <a:spcAft>
              <a:spcPts val="0"/>
            </a:spcAft>
            <a:buNone/>
          </a:pPr>
          <a:r>
            <a:rPr lang="en-US" sz="1200">
              <a:solidFill>
                <a:schemeClr val="dk1"/>
              </a:solidFill>
              <a:latin typeface="Calibri"/>
              <a:ea typeface="Calibri"/>
              <a:cs typeface="Calibri"/>
              <a:sym typeface="Calibri"/>
            </a:rPr>
            <a:t> The  MAXIMUM student loan interest you can deduct on your tax return each year is $2,500 .  If your interest is larger, you can only deduct $2,500 when calculating your taxable income.</a:t>
          </a:r>
          <a:endParaRPr sz="1400"/>
        </a:p>
        <a:p>
          <a:pPr marL="0" lvl="0" indent="0" algn="l" rtl="0">
            <a:spcBef>
              <a:spcPts val="0"/>
            </a:spcBef>
            <a:spcAft>
              <a:spcPts val="0"/>
            </a:spcAft>
            <a:buNone/>
          </a:pPr>
          <a:endParaRPr sz="1200"/>
        </a:p>
        <a:p>
          <a:pPr marL="0" lvl="0" indent="0" algn="l" rtl="0">
            <a:spcBef>
              <a:spcPts val="0"/>
            </a:spcBef>
            <a:spcAft>
              <a:spcPts val="0"/>
            </a:spcAft>
            <a:buNone/>
          </a:pPr>
          <a:endParaRPr sz="1200"/>
        </a:p>
        <a:p>
          <a:pPr marL="0" lvl="0" indent="0" algn="l" rtl="0">
            <a:spcBef>
              <a:spcPts val="0"/>
            </a:spcBef>
            <a:spcAft>
              <a:spcPts val="0"/>
            </a:spcAft>
            <a:buNone/>
          </a:pPr>
          <a:r>
            <a:rPr lang="en-US" sz="1200"/>
            <a:t>`</a:t>
          </a:r>
          <a:endParaRPr sz="1200"/>
        </a:p>
      </xdr:txBody>
    </xdr:sp>
    <xdr:clientData fLocksWithSheet="0"/>
  </xdr:oneCellAnchor>
  <xdr:oneCellAnchor>
    <xdr:from>
      <xdr:col>9</xdr:col>
      <xdr:colOff>238125</xdr:colOff>
      <xdr:row>13</xdr:row>
      <xdr:rowOff>133350</xdr:rowOff>
    </xdr:from>
    <xdr:ext cx="1362075" cy="1447800"/>
    <xdr:sp macro="" textlink="">
      <xdr:nvSpPr>
        <xdr:cNvPr id="18" name="Shape 18">
          <a:extLst>
            <a:ext uri="{FF2B5EF4-FFF2-40B4-BE49-F238E27FC236}">
              <a16:creationId xmlns:a16="http://schemas.microsoft.com/office/drawing/2014/main" id="{00000000-0008-0000-0500-000012000000}"/>
            </a:ext>
          </a:extLst>
        </xdr:cNvPr>
        <xdr:cNvSpPr txBox="1"/>
      </xdr:nvSpPr>
      <xdr:spPr>
        <a:xfrm>
          <a:off x="4664963" y="3060863"/>
          <a:ext cx="1362075" cy="1438275"/>
        </a:xfrm>
        <a:prstGeom prst="rect">
          <a:avLst/>
        </a:prstGeom>
        <a:solidFill>
          <a:srgbClr val="DDEAF6"/>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dk1"/>
              </a:solidFill>
              <a:latin typeface="Calibri"/>
              <a:ea typeface="Calibri"/>
              <a:cs typeface="Calibri"/>
              <a:sym typeface="Calibri"/>
            </a:rPr>
            <a:t>NOTE:   You will only use </a:t>
          </a:r>
          <a:r>
            <a:rPr lang="en-US" sz="1100" b="1">
              <a:solidFill>
                <a:schemeClr val="dk1"/>
              </a:solidFill>
              <a:latin typeface="Calibri"/>
              <a:ea typeface="Calibri"/>
              <a:cs typeface="Calibri"/>
              <a:sym typeface="Calibri"/>
            </a:rPr>
            <a:t>ONE</a:t>
          </a:r>
          <a:r>
            <a:rPr lang="en-US" sz="1100">
              <a:solidFill>
                <a:schemeClr val="dk1"/>
              </a:solidFill>
              <a:latin typeface="Calibri"/>
              <a:ea typeface="Calibri"/>
              <a:cs typeface="Calibri"/>
              <a:sym typeface="Calibri"/>
            </a:rPr>
            <a:t> of these rows, depending  which tax bracket your Taxable income falls within  (see column G)</a:t>
          </a:r>
          <a:endParaRPr sz="1100"/>
        </a:p>
      </xdr:txBody>
    </xdr:sp>
    <xdr:clientData fLocksWithSheet="0"/>
  </xdr:oneCellAnchor>
  <xdr:oneCellAnchor>
    <xdr:from>
      <xdr:col>6</xdr:col>
      <xdr:colOff>2019300</xdr:colOff>
      <xdr:row>8</xdr:row>
      <xdr:rowOff>85725</xdr:rowOff>
    </xdr:from>
    <xdr:ext cx="2571750" cy="857250"/>
    <xdr:grpSp>
      <xdr:nvGrpSpPr>
        <xdr:cNvPr id="2" name="Shape 2">
          <a:extLst>
            <a:ext uri="{FF2B5EF4-FFF2-40B4-BE49-F238E27FC236}">
              <a16:creationId xmlns:a16="http://schemas.microsoft.com/office/drawing/2014/main" id="{00000000-0008-0000-0500-000002000000}"/>
            </a:ext>
          </a:extLst>
        </xdr:cNvPr>
        <xdr:cNvGrpSpPr/>
      </xdr:nvGrpSpPr>
      <xdr:grpSpPr>
        <a:xfrm>
          <a:off x="8039100" y="1508125"/>
          <a:ext cx="2571750" cy="857250"/>
          <a:chOff x="4074413" y="3365663"/>
          <a:chExt cx="2543175" cy="828675"/>
        </a:xfrm>
      </xdr:grpSpPr>
      <xdr:cxnSp macro="">
        <xdr:nvCxnSpPr>
          <xdr:cNvPr id="19" name="Shape 19">
            <a:extLst>
              <a:ext uri="{FF2B5EF4-FFF2-40B4-BE49-F238E27FC236}">
                <a16:creationId xmlns:a16="http://schemas.microsoft.com/office/drawing/2014/main" id="{00000000-0008-0000-0500-000013000000}"/>
              </a:ext>
            </a:extLst>
          </xdr:cNvPr>
          <xdr:cNvCxnSpPr/>
        </xdr:nvCxnSpPr>
        <xdr:spPr>
          <a:xfrm flipH="1">
            <a:off x="4074413" y="3365663"/>
            <a:ext cx="2543175" cy="828675"/>
          </a:xfrm>
          <a:prstGeom prst="straightConnector1">
            <a:avLst/>
          </a:prstGeom>
          <a:noFill/>
          <a:ln w="28575" cap="flat" cmpd="sng">
            <a:solidFill>
              <a:srgbClr val="FF0000"/>
            </a:solidFill>
            <a:prstDash val="solid"/>
            <a:miter lim="800000"/>
            <a:headEnd type="none" w="sm" len="sm"/>
            <a:tailEnd type="triangle" w="med" len="med"/>
          </a:ln>
        </xdr:spPr>
      </xdr:cxnSp>
    </xdr:grpSp>
    <xdr:clientData fLocksWithSheet="0"/>
  </xdr:oneCellAnchor>
  <xdr:oneCellAnchor>
    <xdr:from>
      <xdr:col>8</xdr:col>
      <xdr:colOff>47625</xdr:colOff>
      <xdr:row>6</xdr:row>
      <xdr:rowOff>76200</xdr:rowOff>
    </xdr:from>
    <xdr:ext cx="561975" cy="66675"/>
    <xdr:grpSp>
      <xdr:nvGrpSpPr>
        <xdr:cNvPr id="3" name="Shape 2">
          <a:extLst>
            <a:ext uri="{FF2B5EF4-FFF2-40B4-BE49-F238E27FC236}">
              <a16:creationId xmlns:a16="http://schemas.microsoft.com/office/drawing/2014/main" id="{00000000-0008-0000-0500-000003000000}"/>
            </a:ext>
          </a:extLst>
        </xdr:cNvPr>
        <xdr:cNvGrpSpPr/>
      </xdr:nvGrpSpPr>
      <xdr:grpSpPr>
        <a:xfrm>
          <a:off x="13884275" y="1143000"/>
          <a:ext cx="561975" cy="66675"/>
          <a:chOff x="5065013" y="3775238"/>
          <a:chExt cx="561975" cy="9525"/>
        </a:xfrm>
      </xdr:grpSpPr>
      <xdr:cxnSp macro="">
        <xdr:nvCxnSpPr>
          <xdr:cNvPr id="20" name="Shape 20">
            <a:extLst>
              <a:ext uri="{FF2B5EF4-FFF2-40B4-BE49-F238E27FC236}">
                <a16:creationId xmlns:a16="http://schemas.microsoft.com/office/drawing/2014/main" id="{00000000-0008-0000-0500-000014000000}"/>
              </a:ext>
            </a:extLst>
          </xdr:cNvPr>
          <xdr:cNvCxnSpPr/>
        </xdr:nvCxnSpPr>
        <xdr:spPr>
          <a:xfrm flipH="1">
            <a:off x="5065013" y="3775238"/>
            <a:ext cx="561975" cy="9525"/>
          </a:xfrm>
          <a:prstGeom prst="straightConnector1">
            <a:avLst/>
          </a:prstGeom>
          <a:noFill/>
          <a:ln w="76200" cap="flat" cmpd="sng">
            <a:solidFill>
              <a:srgbClr val="FF0000"/>
            </a:solidFill>
            <a:prstDash val="solid"/>
            <a:miter lim="800000"/>
            <a:headEnd type="none" w="sm" len="sm"/>
            <a:tailEnd type="triangle" w="med" len="med"/>
          </a:ln>
        </xdr:spPr>
      </xdr:cxnSp>
    </xdr:grpSp>
    <xdr:clientData fLocksWithSheet="0"/>
  </xdr:oneCellAnchor>
  <xdr:oneCellAnchor>
    <xdr:from>
      <xdr:col>8</xdr:col>
      <xdr:colOff>619125</xdr:colOff>
      <xdr:row>4</xdr:row>
      <xdr:rowOff>85725</xdr:rowOff>
    </xdr:from>
    <xdr:ext cx="1571625" cy="819150"/>
    <xdr:sp macro="" textlink="">
      <xdr:nvSpPr>
        <xdr:cNvPr id="21" name="Shape 21">
          <a:extLst>
            <a:ext uri="{FF2B5EF4-FFF2-40B4-BE49-F238E27FC236}">
              <a16:creationId xmlns:a16="http://schemas.microsoft.com/office/drawing/2014/main" id="{00000000-0008-0000-0500-000015000000}"/>
            </a:ext>
          </a:extLst>
        </xdr:cNvPr>
        <xdr:cNvSpPr txBox="1"/>
      </xdr:nvSpPr>
      <xdr:spPr>
        <a:xfrm>
          <a:off x="4560188" y="3375188"/>
          <a:ext cx="1571625" cy="809625"/>
        </a:xfrm>
        <a:prstGeom prst="rect">
          <a:avLst/>
        </a:prstGeom>
        <a:solidFill>
          <a:srgbClr val="DDEAF6"/>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dk1"/>
              </a:solidFill>
              <a:latin typeface="Calibri"/>
              <a:ea typeface="Calibri"/>
              <a:cs typeface="Calibri"/>
              <a:sym typeface="Calibri"/>
            </a:rPr>
            <a:t>AGI is the starting place for most state taxes.  Keep this in mind on the State tax worksheet.</a:t>
          </a:r>
          <a:endParaRPr sz="1100"/>
        </a:p>
      </xdr:txBody>
    </xdr:sp>
    <xdr:clientData fLocksWithSheet="0"/>
  </xdr:oneCellAnchor>
  <xdr:oneCellAnchor>
    <xdr:from>
      <xdr:col>5</xdr:col>
      <xdr:colOff>228600</xdr:colOff>
      <xdr:row>38</xdr:row>
      <xdr:rowOff>19050</xdr:rowOff>
    </xdr:from>
    <xdr:ext cx="2447925" cy="1190625"/>
    <xdr:sp macro="" textlink="">
      <xdr:nvSpPr>
        <xdr:cNvPr id="22" name="Shape 22">
          <a:extLst>
            <a:ext uri="{FF2B5EF4-FFF2-40B4-BE49-F238E27FC236}">
              <a16:creationId xmlns:a16="http://schemas.microsoft.com/office/drawing/2014/main" id="{00000000-0008-0000-0500-000016000000}"/>
            </a:ext>
          </a:extLst>
        </xdr:cNvPr>
        <xdr:cNvSpPr txBox="1"/>
      </xdr:nvSpPr>
      <xdr:spPr>
        <a:xfrm>
          <a:off x="4122038" y="3184688"/>
          <a:ext cx="2447925" cy="1190625"/>
        </a:xfrm>
        <a:prstGeom prst="rect">
          <a:avLst/>
        </a:prstGeom>
        <a:solidFill>
          <a:srgbClr val="FFFF00"/>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dk1"/>
              </a:solidFill>
              <a:latin typeface="Calibri"/>
              <a:ea typeface="Calibri"/>
              <a:cs typeface="Calibri"/>
              <a:sym typeface="Calibri"/>
            </a:rPr>
            <a:t>Federal loans are TEMPORARILY set at 0% interest rate because of Covid.   However, they are scheduled to reset to the rates shown in this screenshot after January 1, 2023.  Therefore, do not use 0% as the interest rate.</a:t>
          </a:r>
          <a:endParaRPr sz="1100"/>
        </a:p>
      </xdr:txBody>
    </xdr:sp>
    <xdr:clientData fLocksWithSheet="0"/>
  </xdr:oneCellAnchor>
  <xdr:oneCellAnchor>
    <xdr:from>
      <xdr:col>0</xdr:col>
      <xdr:colOff>19050</xdr:colOff>
      <xdr:row>42</xdr:row>
      <xdr:rowOff>95250</xdr:rowOff>
    </xdr:from>
    <xdr:ext cx="4591050" cy="657225"/>
    <xdr:sp macro="" textlink="">
      <xdr:nvSpPr>
        <xdr:cNvPr id="23" name="Shape 23">
          <a:extLst>
            <a:ext uri="{FF2B5EF4-FFF2-40B4-BE49-F238E27FC236}">
              <a16:creationId xmlns:a16="http://schemas.microsoft.com/office/drawing/2014/main" id="{00000000-0008-0000-0500-000017000000}"/>
            </a:ext>
          </a:extLst>
        </xdr:cNvPr>
        <xdr:cNvSpPr txBox="1"/>
      </xdr:nvSpPr>
      <xdr:spPr>
        <a:xfrm>
          <a:off x="3055238" y="3456150"/>
          <a:ext cx="4581525" cy="647700"/>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dk1"/>
              </a:solidFill>
              <a:latin typeface="Calibri"/>
              <a:ea typeface="Calibri"/>
              <a:cs typeface="Calibri"/>
              <a:sym typeface="Calibri"/>
            </a:rPr>
            <a:t>2023-24	    5.50%	                      7.05%                                  8.05%</a:t>
          </a:r>
          <a:endParaRPr sz="1100"/>
        </a:p>
        <a:p>
          <a:pPr marL="0" lvl="0" indent="0" algn="l" rtl="0">
            <a:spcBef>
              <a:spcPts val="0"/>
            </a:spcBef>
            <a:spcAft>
              <a:spcPts val="0"/>
            </a:spcAft>
            <a:buNone/>
          </a:pPr>
          <a:r>
            <a:rPr lang="en-US" sz="1100">
              <a:solidFill>
                <a:schemeClr val="dk1"/>
              </a:solidFill>
              <a:latin typeface="Calibri"/>
              <a:ea typeface="Calibri"/>
              <a:cs typeface="Calibri"/>
              <a:sym typeface="Calibri"/>
            </a:rPr>
            <a:t>2022-23	    4.99%	                      5.28%	         7.54%</a:t>
          </a:r>
          <a:endParaRPr sz="1100"/>
        </a:p>
        <a:p>
          <a:pPr marL="0" lvl="0" indent="0" algn="l" rtl="0">
            <a:spcBef>
              <a:spcPts val="0"/>
            </a:spcBef>
            <a:spcAft>
              <a:spcPts val="0"/>
            </a:spcAft>
            <a:buNone/>
          </a:pPr>
          <a:r>
            <a:rPr lang="en-US" sz="1100">
              <a:solidFill>
                <a:schemeClr val="dk1"/>
              </a:solidFill>
              <a:latin typeface="Calibri"/>
              <a:ea typeface="Calibri"/>
              <a:cs typeface="Calibri"/>
              <a:sym typeface="Calibri"/>
            </a:rPr>
            <a:t>2021-22                  3.73%                                    6.54%                                   6.28%</a:t>
          </a:r>
          <a:endParaRPr sz="1400"/>
        </a:p>
      </xdr:txBody>
    </xdr:sp>
    <xdr:clientData fLocksWithSheet="0"/>
  </xdr:oneCellAnchor>
  <xdr:oneCellAnchor>
    <xdr:from>
      <xdr:col>0</xdr:col>
      <xdr:colOff>0</xdr:colOff>
      <xdr:row>40</xdr:row>
      <xdr:rowOff>57150</xdr:rowOff>
    </xdr:from>
    <xdr:ext cx="5010150" cy="5343525"/>
    <xdr:pic>
      <xdr:nvPicPr>
        <xdr:cNvPr id="4" name="image1.png">
          <a:extLst>
            <a:ext uri="{FF2B5EF4-FFF2-40B4-BE49-F238E27FC236}">
              <a16:creationId xmlns:a16="http://schemas.microsoft.com/office/drawing/2014/main" id="{00000000-0008-0000-0500-00000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0</xdr:col>
      <xdr:colOff>209550</xdr:colOff>
      <xdr:row>1</xdr:row>
      <xdr:rowOff>104775</xdr:rowOff>
    </xdr:from>
    <xdr:ext cx="4829175" cy="6057900"/>
    <xdr:sp macro="" textlink="">
      <xdr:nvSpPr>
        <xdr:cNvPr id="24" name="Shape 24">
          <a:extLst>
            <a:ext uri="{FF2B5EF4-FFF2-40B4-BE49-F238E27FC236}">
              <a16:creationId xmlns:a16="http://schemas.microsoft.com/office/drawing/2014/main" id="{00000000-0008-0000-0600-000018000000}"/>
            </a:ext>
          </a:extLst>
        </xdr:cNvPr>
        <xdr:cNvSpPr txBox="1"/>
      </xdr:nvSpPr>
      <xdr:spPr>
        <a:xfrm>
          <a:off x="2931413" y="755813"/>
          <a:ext cx="4829175" cy="6048375"/>
        </a:xfrm>
        <a:prstGeom prst="rect">
          <a:avLst/>
        </a:prstGeom>
        <a:solidFill>
          <a:srgbClr val="DDEAF6"/>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600" b="1" u="sng">
              <a:solidFill>
                <a:schemeClr val="dk1"/>
              </a:solidFill>
              <a:latin typeface="Calibri"/>
              <a:ea typeface="Calibri"/>
              <a:cs typeface="Calibri"/>
              <a:sym typeface="Calibri"/>
            </a:rPr>
            <a:t>State income taxes</a:t>
          </a:r>
          <a:endParaRPr sz="1400"/>
        </a:p>
        <a:p>
          <a:pPr marL="0" lvl="0" indent="0" algn="l" rtl="0">
            <a:spcBef>
              <a:spcPts val="0"/>
            </a:spcBef>
            <a:spcAft>
              <a:spcPts val="0"/>
            </a:spcAft>
            <a:buNone/>
          </a:pPr>
          <a:endParaRPr sz="1100"/>
        </a:p>
        <a:p>
          <a:pPr marL="0" lvl="0" indent="0" algn="l" rtl="0">
            <a:spcBef>
              <a:spcPts val="0"/>
            </a:spcBef>
            <a:spcAft>
              <a:spcPts val="0"/>
            </a:spcAft>
            <a:buNone/>
          </a:pPr>
          <a:r>
            <a:rPr lang="en-US" sz="1100" b="1">
              <a:solidFill>
                <a:schemeClr val="dk1"/>
              </a:solidFill>
              <a:latin typeface="Calibri"/>
              <a:ea typeface="Calibri"/>
              <a:cs typeface="Calibri"/>
              <a:sym typeface="Calibri"/>
            </a:rPr>
            <a:t>Fill in Step 1.   </a:t>
          </a:r>
          <a:endParaRPr sz="1400"/>
        </a:p>
        <a:p>
          <a:pPr marL="0" lvl="0" indent="0" algn="l" rtl="0">
            <a:spcBef>
              <a:spcPts val="0"/>
            </a:spcBef>
            <a:spcAft>
              <a:spcPts val="0"/>
            </a:spcAft>
            <a:buNone/>
          </a:pPr>
          <a:endParaRPr sz="1100"/>
        </a:p>
        <a:p>
          <a:pPr marL="0" lvl="0" indent="0" algn="l" rtl="0">
            <a:spcBef>
              <a:spcPts val="0"/>
            </a:spcBef>
            <a:spcAft>
              <a:spcPts val="0"/>
            </a:spcAft>
            <a:buNone/>
          </a:pPr>
          <a:r>
            <a:rPr lang="en-US" sz="1100">
              <a:solidFill>
                <a:schemeClr val="dk1"/>
              </a:solidFill>
              <a:latin typeface="Calibri"/>
              <a:ea typeface="Calibri"/>
              <a:cs typeface="Calibri"/>
              <a:sym typeface="Calibri"/>
            </a:rPr>
            <a:t>Alaska, Florida, Nevada, South Dakota, Texas, Washington, Wyoming do not have an income tax.  Futhermore, New Hampshire and Tennessee only tax investment income, but not salary and wages.</a:t>
          </a:r>
          <a:endParaRPr sz="1400"/>
        </a:p>
        <a:p>
          <a:pPr marL="0" lvl="0" indent="0" algn="l" rtl="0">
            <a:spcBef>
              <a:spcPts val="0"/>
            </a:spcBef>
            <a:spcAft>
              <a:spcPts val="0"/>
            </a:spcAft>
            <a:buNone/>
          </a:pPr>
          <a:endParaRPr sz="1100"/>
        </a:p>
        <a:p>
          <a:pPr marL="0" lvl="0" indent="0" algn="l" rtl="0">
            <a:spcBef>
              <a:spcPts val="0"/>
            </a:spcBef>
            <a:spcAft>
              <a:spcPts val="0"/>
            </a:spcAft>
            <a:buNone/>
          </a:pPr>
          <a:r>
            <a:rPr lang="en-US" sz="1100" b="1">
              <a:solidFill>
                <a:schemeClr val="dk1"/>
              </a:solidFill>
              <a:latin typeface="Calibri"/>
              <a:ea typeface="Calibri"/>
              <a:cs typeface="Calibri"/>
              <a:sym typeface="Calibri"/>
            </a:rPr>
            <a:t>Fill in Step 2 ONLY if you plan to live in Ohio</a:t>
          </a:r>
          <a:r>
            <a:rPr lang="en-US" sz="1100">
              <a:solidFill>
                <a:schemeClr val="dk1"/>
              </a:solidFill>
              <a:latin typeface="Calibri"/>
              <a:ea typeface="Calibri"/>
              <a:cs typeface="Calibri"/>
              <a:sym typeface="Calibri"/>
            </a:rPr>
            <a:t>.  Once you finish Step 2, you are done with this worksheet.  Ignore everything else below since it only pertains to people who plan to live in other states.</a:t>
          </a:r>
          <a:endParaRPr sz="1400"/>
        </a:p>
        <a:p>
          <a:pPr marL="0" lvl="0" indent="0" algn="l" rtl="0">
            <a:spcBef>
              <a:spcPts val="0"/>
            </a:spcBef>
            <a:spcAft>
              <a:spcPts val="0"/>
            </a:spcAft>
            <a:buNone/>
          </a:pPr>
          <a:endParaRPr sz="1100"/>
        </a:p>
        <a:p>
          <a:pPr marL="0" lvl="0" indent="0" algn="l" rtl="0">
            <a:spcBef>
              <a:spcPts val="0"/>
            </a:spcBef>
            <a:spcAft>
              <a:spcPts val="0"/>
            </a:spcAft>
            <a:buNone/>
          </a:pPr>
          <a:r>
            <a:rPr lang="en-US" sz="1100" b="1">
              <a:solidFill>
                <a:schemeClr val="dk1"/>
              </a:solidFill>
              <a:latin typeface="Calibri"/>
              <a:ea typeface="Calibri"/>
              <a:cs typeface="Calibri"/>
              <a:sym typeface="Calibri"/>
            </a:rPr>
            <a:t>Fill in Step 3 ONLY if you plan to live in any state outside of Ohio that has a state income tax.  To do so, first click on the Tax Foundation </a:t>
          </a:r>
          <a:r>
            <a:rPr lang="en-US" sz="1100" b="0">
              <a:solidFill>
                <a:schemeClr val="dk1"/>
              </a:solidFill>
              <a:latin typeface="Calibri"/>
              <a:ea typeface="Calibri"/>
              <a:cs typeface="Calibri"/>
              <a:sym typeface="Calibri"/>
            </a:rPr>
            <a:t>link to the </a:t>
          </a:r>
          <a:r>
            <a:rPr lang="en-US" sz="1100">
              <a:solidFill>
                <a:schemeClr val="dk1"/>
              </a:solidFill>
              <a:latin typeface="Calibri"/>
              <a:ea typeface="Calibri"/>
              <a:cs typeface="Calibri"/>
              <a:sym typeface="Calibri"/>
            </a:rPr>
            <a:t>state income tax rates  below this box.  Once at  the website, click on "Download Data"  (do NOT download the pdf).  You will get an Excel file that lists each state in alphabetical order, including Washington DC at the bottom of the list.  Next to each state you'll see information about tax brackets, standard deductions, and exemptions.</a:t>
          </a:r>
          <a:endParaRPr sz="1400"/>
        </a:p>
        <a:p>
          <a:pPr marL="0" lvl="0" indent="0" algn="l" rtl="0">
            <a:spcBef>
              <a:spcPts val="0"/>
            </a:spcBef>
            <a:spcAft>
              <a:spcPts val="0"/>
            </a:spcAft>
            <a:buNone/>
          </a:pPr>
          <a:endParaRPr sz="1100"/>
        </a:p>
        <a:p>
          <a:pPr marL="0" lvl="0" indent="0" algn="l" rtl="0">
            <a:spcBef>
              <a:spcPts val="0"/>
            </a:spcBef>
            <a:spcAft>
              <a:spcPts val="0"/>
            </a:spcAft>
            <a:buNone/>
          </a:pPr>
          <a:r>
            <a:rPr lang="en-US" sz="1100">
              <a:solidFill>
                <a:schemeClr val="dk1"/>
              </a:solidFill>
              <a:latin typeface="Calibri"/>
              <a:ea typeface="Calibri"/>
              <a:cs typeface="Calibri"/>
              <a:sym typeface="Calibri"/>
            </a:rPr>
            <a:t>A couple of notes:   </a:t>
          </a:r>
          <a:endParaRPr sz="1400"/>
        </a:p>
        <a:p>
          <a:pPr marL="0" lvl="0" indent="0" algn="l" rtl="0">
            <a:spcBef>
              <a:spcPts val="0"/>
            </a:spcBef>
            <a:spcAft>
              <a:spcPts val="0"/>
            </a:spcAft>
            <a:buNone/>
          </a:pPr>
          <a:r>
            <a:rPr lang="en-US" sz="1100">
              <a:solidFill>
                <a:schemeClr val="dk1"/>
              </a:solidFill>
              <a:latin typeface="Calibri"/>
              <a:ea typeface="Calibri"/>
              <a:cs typeface="Calibri"/>
              <a:sym typeface="Calibri"/>
            </a:rPr>
            <a:t>i)  Columns H and J  of that file show whether YOUR state has a standard deduction and/or personal exemption.  Use that information in cells J27 and J28 of this worksheet</a:t>
          </a:r>
          <a:endParaRPr sz="1400"/>
        </a:p>
        <a:p>
          <a:pPr marL="0" lvl="0" indent="0" algn="l" rtl="0">
            <a:spcBef>
              <a:spcPts val="0"/>
            </a:spcBef>
            <a:spcAft>
              <a:spcPts val="0"/>
            </a:spcAft>
            <a:buNone/>
          </a:pPr>
          <a:endParaRPr sz="1100"/>
        </a:p>
        <a:p>
          <a:pPr marL="0" lvl="0" indent="0" algn="l" rtl="0">
            <a:spcBef>
              <a:spcPts val="0"/>
            </a:spcBef>
            <a:spcAft>
              <a:spcPts val="0"/>
            </a:spcAft>
            <a:buNone/>
          </a:pPr>
          <a:r>
            <a:rPr lang="en-US" sz="1100">
              <a:solidFill>
                <a:schemeClr val="dk1"/>
              </a:solidFill>
              <a:latin typeface="Calibri"/>
              <a:ea typeface="Calibri"/>
              <a:cs typeface="Calibri"/>
              <a:sym typeface="Calibri"/>
            </a:rPr>
            <a:t>ii)  COPY and PASTE the tax brackets and rates (Columns B, C, and D) just for YOUR STATE into this worksheet in the space below this box.</a:t>
          </a:r>
          <a:endParaRPr sz="1400"/>
        </a:p>
        <a:p>
          <a:pPr marL="0" lvl="0" indent="0" algn="l" rtl="0">
            <a:spcBef>
              <a:spcPts val="0"/>
            </a:spcBef>
            <a:spcAft>
              <a:spcPts val="0"/>
            </a:spcAft>
            <a:buNone/>
          </a:pPr>
          <a:endParaRPr sz="1100"/>
        </a:p>
        <a:p>
          <a:pPr marL="0" lvl="0" indent="0" algn="l" rtl="0">
            <a:spcBef>
              <a:spcPts val="0"/>
            </a:spcBef>
            <a:spcAft>
              <a:spcPts val="0"/>
            </a:spcAft>
            <a:buNone/>
          </a:pPr>
          <a:r>
            <a:rPr lang="en-US" sz="1100">
              <a:solidFill>
                <a:schemeClr val="dk1"/>
              </a:solidFill>
              <a:latin typeface="Calibri"/>
              <a:ea typeface="Calibri"/>
              <a:cs typeface="Calibri"/>
              <a:sym typeface="Calibri"/>
            </a:rPr>
            <a:t>iii)  A few states have ONE flat tax rate.  Most states have graduated rates where your income is taxed in LAYERS, at progressively higher and higher rates. Compute the layers, and then the appropriate tax for each layer.   I have provided an example starting on Row 52.</a:t>
          </a:r>
          <a:endParaRPr sz="1400"/>
        </a:p>
        <a:p>
          <a:pPr marL="0" lvl="0" indent="0" algn="l" rtl="0">
            <a:spcBef>
              <a:spcPts val="0"/>
            </a:spcBef>
            <a:spcAft>
              <a:spcPts val="0"/>
            </a:spcAft>
            <a:buNone/>
          </a:pPr>
          <a:endParaRPr sz="1100"/>
        </a:p>
        <a:p>
          <a:pPr marL="0" lvl="0" indent="0" algn="l" rtl="0">
            <a:spcBef>
              <a:spcPts val="0"/>
            </a:spcBef>
            <a:spcAft>
              <a:spcPts val="0"/>
            </a:spcAft>
            <a:buNone/>
          </a:pPr>
          <a:r>
            <a:rPr lang="en-US" sz="1100">
              <a:solidFill>
                <a:schemeClr val="dk1"/>
              </a:solidFill>
              <a:latin typeface="Calibri"/>
              <a:ea typeface="Calibri"/>
              <a:cs typeface="Calibri"/>
              <a:sym typeface="Calibri"/>
            </a:rPr>
            <a:t>iv)   You will only be taxed on your State Taxable Income (Cell J29 of this worksheet).   Therefore, stop your tax calculations when the total amount taxed is equal to your state taxable income.   See example provided starting on Row 52.</a:t>
          </a:r>
          <a:endParaRPr sz="1400"/>
        </a:p>
        <a:p>
          <a:pPr marL="0" lvl="0" indent="0" algn="l" rtl="0">
            <a:spcBef>
              <a:spcPts val="0"/>
            </a:spcBef>
            <a:spcAft>
              <a:spcPts val="0"/>
            </a:spcAft>
            <a:buNone/>
          </a:pPr>
          <a:endParaRPr sz="1100"/>
        </a:p>
      </xdr:txBody>
    </xdr:sp>
    <xdr:clientData fLocksWithSheet="0"/>
  </xdr:oneCellAnchor>
  <xdr:oneCellAnchor>
    <xdr:from>
      <xdr:col>10</xdr:col>
      <xdr:colOff>95250</xdr:colOff>
      <xdr:row>8</xdr:row>
      <xdr:rowOff>76200</xdr:rowOff>
    </xdr:from>
    <xdr:ext cx="561975" cy="66675"/>
    <xdr:grpSp>
      <xdr:nvGrpSpPr>
        <xdr:cNvPr id="2" name="Shape 2">
          <a:extLst>
            <a:ext uri="{FF2B5EF4-FFF2-40B4-BE49-F238E27FC236}">
              <a16:creationId xmlns:a16="http://schemas.microsoft.com/office/drawing/2014/main" id="{00000000-0008-0000-0600-000002000000}"/>
            </a:ext>
          </a:extLst>
        </xdr:cNvPr>
        <xdr:cNvGrpSpPr/>
      </xdr:nvGrpSpPr>
      <xdr:grpSpPr>
        <a:xfrm>
          <a:off x="10807700" y="1498600"/>
          <a:ext cx="561975" cy="66675"/>
          <a:chOff x="5065013" y="3775238"/>
          <a:chExt cx="561975" cy="9525"/>
        </a:xfrm>
      </xdr:grpSpPr>
      <xdr:cxnSp macro="">
        <xdr:nvCxnSpPr>
          <xdr:cNvPr id="20" name="Shape 20">
            <a:extLst>
              <a:ext uri="{FF2B5EF4-FFF2-40B4-BE49-F238E27FC236}">
                <a16:creationId xmlns:a16="http://schemas.microsoft.com/office/drawing/2014/main" id="{00000000-0008-0000-0600-000014000000}"/>
              </a:ext>
            </a:extLst>
          </xdr:cNvPr>
          <xdr:cNvCxnSpPr/>
        </xdr:nvCxnSpPr>
        <xdr:spPr>
          <a:xfrm flipH="1">
            <a:off x="5065013" y="3775238"/>
            <a:ext cx="561975" cy="9525"/>
          </a:xfrm>
          <a:prstGeom prst="straightConnector1">
            <a:avLst/>
          </a:prstGeom>
          <a:noFill/>
          <a:ln w="76200" cap="flat" cmpd="sng">
            <a:solidFill>
              <a:srgbClr val="FF0000"/>
            </a:solidFill>
            <a:prstDash val="solid"/>
            <a:miter lim="800000"/>
            <a:headEnd type="none" w="sm" len="sm"/>
            <a:tailEnd type="triangle" w="med" len="med"/>
          </a:ln>
        </xdr:spPr>
      </xdr:cxnSp>
    </xdr:grpSp>
    <xdr:clientData fLocksWithSheet="0"/>
  </xdr:oneCellAnchor>
  <xdr:oneCellAnchor>
    <xdr:from>
      <xdr:col>10</xdr:col>
      <xdr:colOff>676275</xdr:colOff>
      <xdr:row>5</xdr:row>
      <xdr:rowOff>57150</xdr:rowOff>
    </xdr:from>
    <xdr:ext cx="2809875" cy="1362075"/>
    <xdr:sp macro="" textlink="">
      <xdr:nvSpPr>
        <xdr:cNvPr id="25" name="Shape 25">
          <a:extLst>
            <a:ext uri="{FF2B5EF4-FFF2-40B4-BE49-F238E27FC236}">
              <a16:creationId xmlns:a16="http://schemas.microsoft.com/office/drawing/2014/main" id="{00000000-0008-0000-0600-000019000000}"/>
            </a:ext>
          </a:extLst>
        </xdr:cNvPr>
        <xdr:cNvSpPr txBox="1"/>
      </xdr:nvSpPr>
      <xdr:spPr>
        <a:xfrm>
          <a:off x="3941063" y="3098963"/>
          <a:ext cx="2809875" cy="1362075"/>
        </a:xfrm>
        <a:prstGeom prst="rect">
          <a:avLst/>
        </a:prstGeom>
        <a:solidFill>
          <a:srgbClr val="DDEAF6"/>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b="1" u="sng">
              <a:solidFill>
                <a:schemeClr val="dk1"/>
              </a:solidFill>
              <a:latin typeface="Calibri"/>
              <a:ea typeface="Calibri"/>
              <a:cs typeface="Calibri"/>
              <a:sym typeface="Calibri"/>
            </a:rPr>
            <a:t>Ohio Personal Exemption (2022</a:t>
          </a:r>
          <a:r>
            <a:rPr lang="en-US" sz="900" b="1" u="none">
              <a:solidFill>
                <a:schemeClr val="dk1"/>
              </a:solidFill>
              <a:latin typeface="Calibri"/>
              <a:ea typeface="Calibri"/>
              <a:cs typeface="Calibri"/>
              <a:sym typeface="Calibri"/>
            </a:rPr>
            <a:t>):  </a:t>
          </a:r>
          <a:r>
            <a:rPr lang="en-US" sz="900" b="1" i="0" u="none">
              <a:solidFill>
                <a:schemeClr val="dk1"/>
              </a:solidFill>
              <a:latin typeface="Calibri"/>
              <a:ea typeface="Calibri"/>
              <a:cs typeface="Calibri"/>
              <a:sym typeface="Calibri"/>
            </a:rPr>
            <a:t>(2023 amounts not yet published so use 2022)</a:t>
          </a:r>
          <a:endParaRPr sz="1400"/>
        </a:p>
        <a:p>
          <a:pPr marL="0" lvl="0" indent="0" algn="l" rtl="0">
            <a:spcBef>
              <a:spcPts val="0"/>
            </a:spcBef>
            <a:spcAft>
              <a:spcPts val="0"/>
            </a:spcAft>
            <a:buNone/>
          </a:pPr>
          <a:r>
            <a:rPr lang="en-US" sz="1100">
              <a:solidFill>
                <a:schemeClr val="dk1"/>
              </a:solidFill>
              <a:latin typeface="Calibri"/>
              <a:ea typeface="Calibri"/>
              <a:cs typeface="Calibri"/>
              <a:sym typeface="Calibri"/>
            </a:rPr>
            <a:t>If AGI &lt; $40,000, then $2,400</a:t>
          </a:r>
          <a:endParaRPr sz="1400"/>
        </a:p>
        <a:p>
          <a:pPr marL="0" lvl="0" indent="0" algn="l" rtl="0">
            <a:spcBef>
              <a:spcPts val="0"/>
            </a:spcBef>
            <a:spcAft>
              <a:spcPts val="0"/>
            </a:spcAft>
            <a:buNone/>
          </a:pPr>
          <a:endParaRPr sz="1100"/>
        </a:p>
        <a:p>
          <a:pPr marL="0" lvl="0" indent="0" algn="l" rtl="0">
            <a:spcBef>
              <a:spcPts val="0"/>
            </a:spcBef>
            <a:spcAft>
              <a:spcPts val="0"/>
            </a:spcAft>
            <a:buNone/>
          </a:pPr>
          <a:r>
            <a:rPr lang="en-US" sz="1100">
              <a:solidFill>
                <a:schemeClr val="dk1"/>
              </a:solidFill>
              <a:latin typeface="Calibri"/>
              <a:ea typeface="Calibri"/>
              <a:cs typeface="Calibri"/>
              <a:sym typeface="Calibri"/>
            </a:rPr>
            <a:t>If $40,000 &lt; AGI &lt; $80,000, then $2,100</a:t>
          </a:r>
          <a:endParaRPr sz="1400"/>
        </a:p>
        <a:p>
          <a:pPr marL="0" lvl="0" indent="0" algn="l" rtl="0">
            <a:spcBef>
              <a:spcPts val="0"/>
            </a:spcBef>
            <a:spcAft>
              <a:spcPts val="0"/>
            </a:spcAft>
            <a:buNone/>
          </a:pPr>
          <a:endParaRPr sz="1100"/>
        </a:p>
        <a:p>
          <a:pPr marL="0" lvl="0" indent="0" algn="l" rtl="0">
            <a:spcBef>
              <a:spcPts val="0"/>
            </a:spcBef>
            <a:spcAft>
              <a:spcPts val="0"/>
            </a:spcAft>
            <a:buNone/>
          </a:pPr>
          <a:r>
            <a:rPr lang="en-US" sz="1100">
              <a:solidFill>
                <a:schemeClr val="dk1"/>
              </a:solidFill>
              <a:latin typeface="Calibri"/>
              <a:ea typeface="Calibri"/>
              <a:cs typeface="Calibri"/>
              <a:sym typeface="Calibri"/>
            </a:rPr>
            <a:t>IF AGI &gt;$80,000, then $1,900</a:t>
          </a:r>
          <a:endParaRPr sz="1100"/>
        </a:p>
      </xdr:txBody>
    </xdr:sp>
    <xdr:clientData fLocksWithSheet="0"/>
  </xdr:oneCellAnchor>
  <xdr:oneCellAnchor>
    <xdr:from>
      <xdr:col>8</xdr:col>
      <xdr:colOff>2095500</xdr:colOff>
      <xdr:row>10</xdr:row>
      <xdr:rowOff>9525</xdr:rowOff>
    </xdr:from>
    <xdr:ext cx="1038225" cy="476250"/>
    <xdr:grpSp>
      <xdr:nvGrpSpPr>
        <xdr:cNvPr id="3" name="Shape 2">
          <a:extLst>
            <a:ext uri="{FF2B5EF4-FFF2-40B4-BE49-F238E27FC236}">
              <a16:creationId xmlns:a16="http://schemas.microsoft.com/office/drawing/2014/main" id="{00000000-0008-0000-0600-000003000000}"/>
            </a:ext>
          </a:extLst>
        </xdr:cNvPr>
        <xdr:cNvGrpSpPr/>
      </xdr:nvGrpSpPr>
      <xdr:grpSpPr>
        <a:xfrm>
          <a:off x="7493000" y="1787525"/>
          <a:ext cx="1038225" cy="476250"/>
          <a:chOff x="4841175" y="3551400"/>
          <a:chExt cx="1009650" cy="457200"/>
        </a:xfrm>
      </xdr:grpSpPr>
      <xdr:cxnSp macro="">
        <xdr:nvCxnSpPr>
          <xdr:cNvPr id="26" name="Shape 26">
            <a:extLst>
              <a:ext uri="{FF2B5EF4-FFF2-40B4-BE49-F238E27FC236}">
                <a16:creationId xmlns:a16="http://schemas.microsoft.com/office/drawing/2014/main" id="{00000000-0008-0000-0600-00001A000000}"/>
              </a:ext>
            </a:extLst>
          </xdr:cNvPr>
          <xdr:cNvCxnSpPr/>
        </xdr:nvCxnSpPr>
        <xdr:spPr>
          <a:xfrm flipH="1">
            <a:off x="4841175" y="3551400"/>
            <a:ext cx="1009650" cy="457200"/>
          </a:xfrm>
          <a:prstGeom prst="straightConnector1">
            <a:avLst/>
          </a:prstGeom>
          <a:noFill/>
          <a:ln w="28575" cap="flat" cmpd="sng">
            <a:solidFill>
              <a:srgbClr val="FF0000"/>
            </a:solidFill>
            <a:prstDash val="solid"/>
            <a:miter lim="800000"/>
            <a:headEnd type="none" w="sm" len="sm"/>
            <a:tailEnd type="triangle" w="med" len="med"/>
          </a:ln>
        </xdr:spPr>
      </xdr:cxnSp>
    </xdr:grpSp>
    <xdr:clientData fLocksWithSheet="0"/>
  </xdr:oneCellAnchor>
  <xdr:oneCellAnchor>
    <xdr:from>
      <xdr:col>10</xdr:col>
      <xdr:colOff>704850</xdr:colOff>
      <xdr:row>2</xdr:row>
      <xdr:rowOff>0</xdr:rowOff>
    </xdr:from>
    <xdr:ext cx="2714625" cy="457200"/>
    <xdr:sp macro="" textlink="">
      <xdr:nvSpPr>
        <xdr:cNvPr id="27" name="Shape 27">
          <a:extLst>
            <a:ext uri="{FF2B5EF4-FFF2-40B4-BE49-F238E27FC236}">
              <a16:creationId xmlns:a16="http://schemas.microsoft.com/office/drawing/2014/main" id="{00000000-0008-0000-0600-00001B000000}"/>
            </a:ext>
          </a:extLst>
        </xdr:cNvPr>
        <xdr:cNvSpPr txBox="1"/>
      </xdr:nvSpPr>
      <xdr:spPr>
        <a:xfrm>
          <a:off x="3993450" y="3551400"/>
          <a:ext cx="2705100" cy="457200"/>
        </a:xfrm>
        <a:prstGeom prst="rect">
          <a:avLst/>
        </a:prstGeom>
        <a:solidFill>
          <a:srgbClr val="DDEAF6"/>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dk1"/>
              </a:solidFill>
              <a:latin typeface="Calibri"/>
              <a:ea typeface="Calibri"/>
              <a:cs typeface="Calibri"/>
              <a:sym typeface="Calibri"/>
            </a:rPr>
            <a:t>If NO, you are done with this worksheet.</a:t>
          </a:r>
          <a:endParaRPr sz="1400"/>
        </a:p>
      </xdr:txBody>
    </xdr:sp>
    <xdr:clientData fLocksWithSheet="0"/>
  </xdr:oneCellAnchor>
  <xdr:oneCellAnchor>
    <xdr:from>
      <xdr:col>10</xdr:col>
      <xdr:colOff>133350</xdr:colOff>
      <xdr:row>3</xdr:row>
      <xdr:rowOff>76200</xdr:rowOff>
    </xdr:from>
    <xdr:ext cx="561975" cy="66675"/>
    <xdr:grpSp>
      <xdr:nvGrpSpPr>
        <xdr:cNvPr id="4" name="Shape 2">
          <a:extLst>
            <a:ext uri="{FF2B5EF4-FFF2-40B4-BE49-F238E27FC236}">
              <a16:creationId xmlns:a16="http://schemas.microsoft.com/office/drawing/2014/main" id="{00000000-0008-0000-0600-000004000000}"/>
            </a:ext>
          </a:extLst>
        </xdr:cNvPr>
        <xdr:cNvGrpSpPr/>
      </xdr:nvGrpSpPr>
      <xdr:grpSpPr>
        <a:xfrm>
          <a:off x="10845800" y="609600"/>
          <a:ext cx="561975" cy="66675"/>
          <a:chOff x="5065013" y="3775238"/>
          <a:chExt cx="561975" cy="9525"/>
        </a:xfrm>
      </xdr:grpSpPr>
      <xdr:cxnSp macro="">
        <xdr:nvCxnSpPr>
          <xdr:cNvPr id="5" name="Shape 20">
            <a:extLst>
              <a:ext uri="{FF2B5EF4-FFF2-40B4-BE49-F238E27FC236}">
                <a16:creationId xmlns:a16="http://schemas.microsoft.com/office/drawing/2014/main" id="{00000000-0008-0000-0600-000005000000}"/>
              </a:ext>
            </a:extLst>
          </xdr:cNvPr>
          <xdr:cNvCxnSpPr/>
        </xdr:nvCxnSpPr>
        <xdr:spPr>
          <a:xfrm flipH="1">
            <a:off x="5065013" y="3775238"/>
            <a:ext cx="561975" cy="9525"/>
          </a:xfrm>
          <a:prstGeom prst="straightConnector1">
            <a:avLst/>
          </a:prstGeom>
          <a:noFill/>
          <a:ln w="76200" cap="flat" cmpd="sng">
            <a:solidFill>
              <a:srgbClr val="FF0000"/>
            </a:solidFill>
            <a:prstDash val="solid"/>
            <a:miter lim="800000"/>
            <a:headEnd type="none" w="sm" len="sm"/>
            <a:tailEnd type="triangle" w="med" len="med"/>
          </a:ln>
        </xdr:spPr>
      </xdr:cxnSp>
    </xdr:grpSp>
    <xdr:clientData fLocksWithSheet="0"/>
  </xdr:oneCellAnchor>
  <xdr:oneCellAnchor>
    <xdr:from>
      <xdr:col>10</xdr:col>
      <xdr:colOff>142875</xdr:colOff>
      <xdr:row>23</xdr:row>
      <xdr:rowOff>76200</xdr:rowOff>
    </xdr:from>
    <xdr:ext cx="561975" cy="66675"/>
    <xdr:grpSp>
      <xdr:nvGrpSpPr>
        <xdr:cNvPr id="6" name="Shape 2">
          <a:extLst>
            <a:ext uri="{FF2B5EF4-FFF2-40B4-BE49-F238E27FC236}">
              <a16:creationId xmlns:a16="http://schemas.microsoft.com/office/drawing/2014/main" id="{00000000-0008-0000-0600-000006000000}"/>
            </a:ext>
          </a:extLst>
        </xdr:cNvPr>
        <xdr:cNvGrpSpPr/>
      </xdr:nvGrpSpPr>
      <xdr:grpSpPr>
        <a:xfrm>
          <a:off x="10855325" y="4375150"/>
          <a:ext cx="561975" cy="66675"/>
          <a:chOff x="5065013" y="3775238"/>
          <a:chExt cx="561975" cy="9525"/>
        </a:xfrm>
      </xdr:grpSpPr>
      <xdr:cxnSp macro="">
        <xdr:nvCxnSpPr>
          <xdr:cNvPr id="28" name="Shape 28">
            <a:extLst>
              <a:ext uri="{FF2B5EF4-FFF2-40B4-BE49-F238E27FC236}">
                <a16:creationId xmlns:a16="http://schemas.microsoft.com/office/drawing/2014/main" id="{00000000-0008-0000-0600-00001C000000}"/>
              </a:ext>
            </a:extLst>
          </xdr:cNvPr>
          <xdr:cNvCxnSpPr/>
        </xdr:nvCxnSpPr>
        <xdr:spPr>
          <a:xfrm flipH="1">
            <a:off x="5065013" y="3775238"/>
            <a:ext cx="561975" cy="9525"/>
          </a:xfrm>
          <a:prstGeom prst="straightConnector1">
            <a:avLst/>
          </a:prstGeom>
          <a:noFill/>
          <a:ln w="76200" cap="flat" cmpd="sng">
            <a:solidFill>
              <a:srgbClr val="FF0000"/>
            </a:solidFill>
            <a:prstDash val="solid"/>
            <a:miter lim="800000"/>
            <a:headEnd type="none" w="sm" len="sm"/>
            <a:tailEnd type="triangle" w="med" len="med"/>
          </a:ln>
        </xdr:spPr>
      </xdr:cxnSp>
    </xdr:grpSp>
    <xdr:clientData fLocksWithSheet="0"/>
  </xdr:oneCellAnchor>
  <xdr:oneCellAnchor>
    <xdr:from>
      <xdr:col>10</xdr:col>
      <xdr:colOff>723900</xdr:colOff>
      <xdr:row>23</xdr:row>
      <xdr:rowOff>0</xdr:rowOff>
    </xdr:from>
    <xdr:ext cx="2847975" cy="657225"/>
    <xdr:sp macro="" textlink="">
      <xdr:nvSpPr>
        <xdr:cNvPr id="29" name="Shape 29">
          <a:extLst>
            <a:ext uri="{FF2B5EF4-FFF2-40B4-BE49-F238E27FC236}">
              <a16:creationId xmlns:a16="http://schemas.microsoft.com/office/drawing/2014/main" id="{00000000-0008-0000-0600-00001D000000}"/>
            </a:ext>
          </a:extLst>
        </xdr:cNvPr>
        <xdr:cNvSpPr txBox="1"/>
      </xdr:nvSpPr>
      <xdr:spPr>
        <a:xfrm>
          <a:off x="3926775" y="3456150"/>
          <a:ext cx="2838450" cy="647700"/>
        </a:xfrm>
        <a:prstGeom prst="rect">
          <a:avLst/>
        </a:prstGeom>
        <a:solidFill>
          <a:srgbClr val="DDEAF6"/>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dk1"/>
              </a:solidFill>
              <a:latin typeface="Calibri"/>
              <a:ea typeface="Calibri"/>
              <a:cs typeface="Calibri"/>
              <a:sym typeface="Calibri"/>
            </a:rPr>
            <a:t>If Colorado, North Dakota, or South Carolina, you start with FEDERAL TAXABLE INCOME from last worksheet, NOT AGI.</a:t>
          </a:r>
          <a:endParaRPr sz="1100"/>
        </a:p>
      </xdr:txBody>
    </xdr:sp>
    <xdr:clientData fLocksWithSheet="0"/>
  </xdr:oneCellAnchor>
  <xdr:oneCellAnchor>
    <xdr:from>
      <xdr:col>6</xdr:col>
      <xdr:colOff>523875</xdr:colOff>
      <xdr:row>53</xdr:row>
      <xdr:rowOff>95250</xdr:rowOff>
    </xdr:from>
    <xdr:ext cx="3695700" cy="1666875"/>
    <xdr:sp macro="" textlink="">
      <xdr:nvSpPr>
        <xdr:cNvPr id="30" name="Shape 30">
          <a:extLst>
            <a:ext uri="{FF2B5EF4-FFF2-40B4-BE49-F238E27FC236}">
              <a16:creationId xmlns:a16="http://schemas.microsoft.com/office/drawing/2014/main" id="{00000000-0008-0000-0600-00001E000000}"/>
            </a:ext>
          </a:extLst>
        </xdr:cNvPr>
        <xdr:cNvSpPr txBox="1"/>
      </xdr:nvSpPr>
      <xdr:spPr>
        <a:xfrm>
          <a:off x="3498150" y="2951325"/>
          <a:ext cx="3695700" cy="1657350"/>
        </a:xfrm>
        <a:prstGeom prst="rect">
          <a:avLst/>
        </a:prstGeom>
        <a:solidFill>
          <a:srgbClr val="DDEAF6"/>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dk1"/>
              </a:solidFill>
              <a:latin typeface="Calibri"/>
              <a:ea typeface="Calibri"/>
              <a:cs typeface="Calibri"/>
              <a:sym typeface="Calibri"/>
            </a:rPr>
            <a:t>Notice how the first layer of income ($8,932) is taxed at 1%.   The next layer of income ($12,243) is any income between $8,932 and $21,175.   It is taxed at 2%.   The pattern repeats.</a:t>
          </a:r>
          <a:endParaRPr sz="1400"/>
        </a:p>
        <a:p>
          <a:pPr marL="0" lvl="0" indent="0" algn="l" rtl="0">
            <a:spcBef>
              <a:spcPts val="0"/>
            </a:spcBef>
            <a:spcAft>
              <a:spcPts val="0"/>
            </a:spcAft>
            <a:buNone/>
          </a:pPr>
          <a:endParaRPr sz="1100"/>
        </a:p>
        <a:p>
          <a:pPr marL="0" lvl="0" indent="0" algn="l" rtl="0">
            <a:spcBef>
              <a:spcPts val="0"/>
            </a:spcBef>
            <a:spcAft>
              <a:spcPts val="0"/>
            </a:spcAft>
            <a:buNone/>
          </a:pPr>
          <a:r>
            <a:rPr lang="en-US" sz="1100">
              <a:solidFill>
                <a:schemeClr val="dk1"/>
              </a:solidFill>
              <a:latin typeface="Calibri"/>
              <a:ea typeface="Calibri"/>
              <a:cs typeface="Calibri"/>
              <a:sym typeface="Calibri"/>
            </a:rPr>
            <a:t>Finally, once you hit your taxable income ($60,000 in this example), you'll have to adjust the income layer (E60 in our example) in that tax bracket so that the amount is equal to your taxable income in J29.</a:t>
          </a:r>
          <a:endParaRPr sz="1100"/>
        </a:p>
      </xdr:txBody>
    </xdr:sp>
    <xdr:clientData fLocksWithSheet="0"/>
  </xdr:oneCellAnchor>
  <xdr:oneCellAnchor>
    <xdr:from>
      <xdr:col>6</xdr:col>
      <xdr:colOff>-38100</xdr:colOff>
      <xdr:row>61</xdr:row>
      <xdr:rowOff>-28575</xdr:rowOff>
    </xdr:from>
    <xdr:ext cx="647700" cy="781050"/>
    <xdr:grpSp>
      <xdr:nvGrpSpPr>
        <xdr:cNvPr id="7" name="Shape 2">
          <a:extLst>
            <a:ext uri="{FF2B5EF4-FFF2-40B4-BE49-F238E27FC236}">
              <a16:creationId xmlns:a16="http://schemas.microsoft.com/office/drawing/2014/main" id="{00000000-0008-0000-0600-000007000000}"/>
            </a:ext>
          </a:extLst>
        </xdr:cNvPr>
        <xdr:cNvGrpSpPr/>
      </xdr:nvGrpSpPr>
      <xdr:grpSpPr>
        <a:xfrm>
          <a:off x="4152900" y="11026775"/>
          <a:ext cx="647700" cy="781050"/>
          <a:chOff x="5060250" y="3427575"/>
          <a:chExt cx="571500" cy="704850"/>
        </a:xfrm>
      </xdr:grpSpPr>
      <xdr:cxnSp macro="">
        <xdr:nvCxnSpPr>
          <xdr:cNvPr id="31" name="Shape 31">
            <a:extLst>
              <a:ext uri="{FF2B5EF4-FFF2-40B4-BE49-F238E27FC236}">
                <a16:creationId xmlns:a16="http://schemas.microsoft.com/office/drawing/2014/main" id="{00000000-0008-0000-0600-00001F000000}"/>
              </a:ext>
            </a:extLst>
          </xdr:cNvPr>
          <xdr:cNvCxnSpPr/>
        </xdr:nvCxnSpPr>
        <xdr:spPr>
          <a:xfrm rot="10800000">
            <a:off x="5060250" y="3427575"/>
            <a:ext cx="571500" cy="704850"/>
          </a:xfrm>
          <a:prstGeom prst="straightConnector1">
            <a:avLst/>
          </a:prstGeom>
          <a:noFill/>
          <a:ln w="76200" cap="flat" cmpd="sng">
            <a:solidFill>
              <a:srgbClr val="FF0000"/>
            </a:solidFill>
            <a:prstDash val="solid"/>
            <a:miter lim="800000"/>
            <a:headEnd type="none" w="sm" len="sm"/>
            <a:tailEnd type="triangle" w="med" len="med"/>
          </a:ln>
        </xdr:spPr>
      </xdr:cxnSp>
    </xdr:grpSp>
    <xdr:clientData fLocksWithSheet="0"/>
  </xdr:oneCellAnchor>
  <xdr:oneCellAnchor>
    <xdr:from>
      <xdr:col>7</xdr:col>
      <xdr:colOff>0</xdr:colOff>
      <xdr:row>64</xdr:row>
      <xdr:rowOff>47625</xdr:rowOff>
    </xdr:from>
    <xdr:ext cx="2286000" cy="457200"/>
    <xdr:sp macro="" textlink="">
      <xdr:nvSpPr>
        <xdr:cNvPr id="32" name="Shape 32">
          <a:extLst>
            <a:ext uri="{FF2B5EF4-FFF2-40B4-BE49-F238E27FC236}">
              <a16:creationId xmlns:a16="http://schemas.microsoft.com/office/drawing/2014/main" id="{00000000-0008-0000-0600-000020000000}"/>
            </a:ext>
          </a:extLst>
        </xdr:cNvPr>
        <xdr:cNvSpPr txBox="1"/>
      </xdr:nvSpPr>
      <xdr:spPr>
        <a:xfrm>
          <a:off x="4203000" y="3551400"/>
          <a:ext cx="2286000" cy="457200"/>
        </a:xfrm>
        <a:prstGeom prst="rect">
          <a:avLst/>
        </a:prstGeom>
        <a:solidFill>
          <a:srgbClr val="DDEAF6"/>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dk1"/>
              </a:solidFill>
              <a:latin typeface="Calibri"/>
              <a:ea typeface="Calibri"/>
              <a:cs typeface="Calibri"/>
              <a:sym typeface="Calibri"/>
            </a:rPr>
            <a:t>State income tax for cell J31</a:t>
          </a:r>
          <a:endParaRPr sz="1400"/>
        </a:p>
      </xdr:txBody>
    </xdr:sp>
    <xdr:clientData fLocksWithSheet="0"/>
  </xdr:oneCellAnchor>
</xdr:wsDr>
</file>

<file path=xl/drawings/drawing8.xml><?xml version="1.0" encoding="utf-8"?>
<xdr:wsDr xmlns:xdr="http://schemas.openxmlformats.org/drawingml/2006/spreadsheetDrawing" xmlns:a="http://schemas.openxmlformats.org/drawingml/2006/main">
  <xdr:oneCellAnchor>
    <xdr:from>
      <xdr:col>0</xdr:col>
      <xdr:colOff>238125</xdr:colOff>
      <xdr:row>0</xdr:row>
      <xdr:rowOff>152400</xdr:rowOff>
    </xdr:from>
    <xdr:ext cx="7143750" cy="5191125"/>
    <xdr:sp macro="" textlink="">
      <xdr:nvSpPr>
        <xdr:cNvPr id="33" name="Shape 33">
          <a:extLst>
            <a:ext uri="{FF2B5EF4-FFF2-40B4-BE49-F238E27FC236}">
              <a16:creationId xmlns:a16="http://schemas.microsoft.com/office/drawing/2014/main" id="{00000000-0008-0000-0700-000021000000}"/>
            </a:ext>
          </a:extLst>
        </xdr:cNvPr>
        <xdr:cNvSpPr txBox="1"/>
      </xdr:nvSpPr>
      <xdr:spPr>
        <a:xfrm>
          <a:off x="1774125" y="1189200"/>
          <a:ext cx="7143750" cy="5181600"/>
        </a:xfrm>
        <a:prstGeom prst="rect">
          <a:avLst/>
        </a:prstGeom>
        <a:solidFill>
          <a:srgbClr val="DDEAF6"/>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800" b="1" u="sng">
              <a:solidFill>
                <a:schemeClr val="dk1"/>
              </a:solidFill>
              <a:latin typeface="Calibri"/>
              <a:ea typeface="Calibri"/>
              <a:cs typeface="Calibri"/>
              <a:sym typeface="Calibri"/>
            </a:rPr>
            <a:t>Health insurance</a:t>
          </a:r>
          <a:endParaRPr sz="1400"/>
        </a:p>
        <a:p>
          <a:pPr marL="0" lvl="0" indent="0" algn="l" rtl="0">
            <a:spcBef>
              <a:spcPts val="0"/>
            </a:spcBef>
            <a:spcAft>
              <a:spcPts val="0"/>
            </a:spcAft>
            <a:buNone/>
          </a:pPr>
          <a:endParaRPr sz="1100"/>
        </a:p>
        <a:p>
          <a:pPr marL="0" lvl="0" indent="0" algn="l" rtl="0">
            <a:spcBef>
              <a:spcPts val="0"/>
            </a:spcBef>
            <a:spcAft>
              <a:spcPts val="0"/>
            </a:spcAft>
            <a:buNone/>
          </a:pPr>
          <a:r>
            <a:rPr lang="en-US" sz="1100">
              <a:solidFill>
                <a:schemeClr val="dk1"/>
              </a:solidFill>
              <a:latin typeface="Calibri"/>
              <a:ea typeface="Calibri"/>
              <a:cs typeface="Calibri"/>
              <a:sym typeface="Calibri"/>
            </a:rPr>
            <a:t>You must have health insurance.   Even if it were not the law, you need it to protect yourself from possible financial ruin.</a:t>
          </a:r>
          <a:endParaRPr sz="1400"/>
        </a:p>
        <a:p>
          <a:pPr marL="0" lvl="0" indent="0" algn="l" rtl="0">
            <a:spcBef>
              <a:spcPts val="0"/>
            </a:spcBef>
            <a:spcAft>
              <a:spcPts val="0"/>
            </a:spcAft>
            <a:buNone/>
          </a:pPr>
          <a:endParaRPr sz="1100"/>
        </a:p>
        <a:p>
          <a:pPr marL="0" lvl="0" indent="0" algn="l" rtl="0">
            <a:spcBef>
              <a:spcPts val="0"/>
            </a:spcBef>
            <a:spcAft>
              <a:spcPts val="0"/>
            </a:spcAft>
            <a:buNone/>
          </a:pPr>
          <a:r>
            <a:rPr lang="en-US" sz="1100">
              <a:solidFill>
                <a:schemeClr val="dk1"/>
              </a:solidFill>
              <a:latin typeface="Calibri"/>
              <a:ea typeface="Calibri"/>
              <a:cs typeface="Calibri"/>
              <a:sym typeface="Calibri"/>
            </a:rPr>
            <a:t>Under the Affordable Care Act, you may stay on your parents' health insurance plan until the month you turn 26, but only if your parents allow you to do so (their insurance premiums will be higher with you on the plan). </a:t>
          </a:r>
          <a:endParaRPr sz="1400"/>
        </a:p>
        <a:p>
          <a:pPr marL="0" lvl="0" indent="0" algn="l" rtl="0">
            <a:spcBef>
              <a:spcPts val="0"/>
            </a:spcBef>
            <a:spcAft>
              <a:spcPts val="0"/>
            </a:spcAft>
            <a:buNone/>
          </a:pPr>
          <a:endParaRPr sz="1100"/>
        </a:p>
        <a:p>
          <a:pPr marL="0" lvl="0" indent="0" algn="l" rtl="0">
            <a:spcBef>
              <a:spcPts val="0"/>
            </a:spcBef>
            <a:spcAft>
              <a:spcPts val="0"/>
            </a:spcAft>
            <a:buNone/>
          </a:pPr>
          <a:r>
            <a:rPr lang="en-US" sz="1100">
              <a:solidFill>
                <a:schemeClr val="dk1"/>
              </a:solidFill>
              <a:latin typeface="Calibri"/>
              <a:ea typeface="Calibri"/>
              <a:cs typeface="Calibri"/>
              <a:sym typeface="Calibri"/>
            </a:rPr>
            <a:t>For this assignment, I  require that you  look up the cost of insurance, EVEN if your parents continue to keep you on their plan.    I want you to get a good idea of how much health insurance will cost you.   </a:t>
          </a:r>
          <a:endParaRPr sz="1400"/>
        </a:p>
        <a:p>
          <a:pPr marL="0" lvl="0" indent="0" algn="l" rtl="0">
            <a:spcBef>
              <a:spcPts val="0"/>
            </a:spcBef>
            <a:spcAft>
              <a:spcPts val="0"/>
            </a:spcAft>
            <a:buNone/>
          </a:pPr>
          <a:endParaRPr sz="1100"/>
        </a:p>
        <a:p>
          <a:pPr marL="0" lvl="0" indent="0" algn="l" rtl="0">
            <a:spcBef>
              <a:spcPts val="0"/>
            </a:spcBef>
            <a:spcAft>
              <a:spcPts val="0"/>
            </a:spcAft>
            <a:buNone/>
          </a:pPr>
          <a:r>
            <a:rPr lang="en-US" sz="1100">
              <a:solidFill>
                <a:schemeClr val="dk1"/>
              </a:solidFill>
              <a:latin typeface="Calibri"/>
              <a:ea typeface="Calibri"/>
              <a:cs typeface="Calibri"/>
              <a:sym typeface="Calibri"/>
            </a:rPr>
            <a:t>Each year, Kaiser Permanante does a survey of health insurance benefits.    Use the link below to pull up </a:t>
          </a:r>
          <a:r>
            <a:rPr lang="en-US" sz="1100" b="1">
              <a:solidFill>
                <a:schemeClr val="dk1"/>
              </a:solidFill>
              <a:latin typeface="Calibri"/>
              <a:ea typeface="Calibri"/>
              <a:cs typeface="Calibri"/>
              <a:sym typeface="Calibri"/>
            </a:rPr>
            <a:t>the Summary of Findings </a:t>
          </a:r>
          <a:r>
            <a:rPr lang="en-US" sz="1100">
              <a:solidFill>
                <a:schemeClr val="dk1"/>
              </a:solidFill>
              <a:latin typeface="Calibri"/>
              <a:ea typeface="Calibri"/>
              <a:cs typeface="Calibri"/>
              <a:sym typeface="Calibri"/>
            </a:rPr>
            <a:t>for the most recent survey.   </a:t>
          </a:r>
          <a:r>
            <a:rPr lang="en-US" sz="1100" b="1">
              <a:solidFill>
                <a:schemeClr val="dk1"/>
              </a:solidFill>
              <a:latin typeface="Calibri"/>
              <a:ea typeface="Calibri"/>
              <a:cs typeface="Calibri"/>
              <a:sym typeface="Calibri"/>
            </a:rPr>
            <a:t>Go to FIGURE B  where you will find a horizontal bar chart of yearly insurance premiums broken down by 1) type of plan, and 2) coverage level (single or family), and 3) employer contribution vs worker contribution.  </a:t>
          </a:r>
          <a:r>
            <a:rPr lang="en-US" sz="1100" b="0">
              <a:solidFill>
                <a:schemeClr val="dk1"/>
              </a:solidFill>
              <a:latin typeface="Calibri"/>
              <a:ea typeface="Calibri"/>
              <a:cs typeface="Calibri"/>
              <a:sym typeface="Calibri"/>
            </a:rPr>
            <a:t>Unless you are self-employed, you would only pay the </a:t>
          </a:r>
          <a:r>
            <a:rPr lang="en-US" sz="1100" b="1">
              <a:solidFill>
                <a:schemeClr val="dk1"/>
              </a:solidFill>
              <a:latin typeface="Calibri"/>
              <a:ea typeface="Calibri"/>
              <a:cs typeface="Calibri"/>
              <a:sym typeface="Calibri"/>
            </a:rPr>
            <a:t>worker contribution.   </a:t>
          </a:r>
          <a:r>
            <a:rPr lang="en-US" sz="1100" b="0">
              <a:solidFill>
                <a:schemeClr val="dk1"/>
              </a:solidFill>
              <a:latin typeface="Calibri"/>
              <a:ea typeface="Calibri"/>
              <a:cs typeface="Calibri"/>
              <a:sym typeface="Calibri"/>
            </a:rPr>
            <a:t>Notice the employer pays a much larger share of the cost:   that's a huge fringe benefit to you!</a:t>
          </a:r>
          <a:endParaRPr sz="1400"/>
        </a:p>
        <a:p>
          <a:pPr marL="0" lvl="0" indent="0" algn="l" rtl="0">
            <a:spcBef>
              <a:spcPts val="0"/>
            </a:spcBef>
            <a:spcAft>
              <a:spcPts val="0"/>
            </a:spcAft>
            <a:buNone/>
          </a:pPr>
          <a:endParaRPr sz="1100" b="0"/>
        </a:p>
        <a:p>
          <a:pPr marL="0" lvl="0" indent="0" algn="l" rtl="0">
            <a:spcBef>
              <a:spcPts val="0"/>
            </a:spcBef>
            <a:spcAft>
              <a:spcPts val="0"/>
            </a:spcAft>
            <a:buNone/>
          </a:pPr>
          <a:r>
            <a:rPr lang="en-US" sz="1100" b="1" u="sng">
              <a:solidFill>
                <a:schemeClr val="dk1"/>
              </a:solidFill>
              <a:latin typeface="Calibri"/>
              <a:ea typeface="Calibri"/>
              <a:cs typeface="Calibri"/>
              <a:sym typeface="Calibri"/>
            </a:rPr>
            <a:t>Types of plans</a:t>
          </a:r>
          <a:br>
            <a:rPr lang="en-US" sz="1100" b="1">
              <a:solidFill>
                <a:schemeClr val="dk1"/>
              </a:solidFill>
              <a:latin typeface="Calibri"/>
              <a:ea typeface="Calibri"/>
              <a:cs typeface="Calibri"/>
              <a:sym typeface="Calibri"/>
            </a:rPr>
          </a:br>
          <a:r>
            <a:rPr lang="en-US" sz="1100" b="1">
              <a:solidFill>
                <a:schemeClr val="dk1"/>
              </a:solidFill>
              <a:latin typeface="Calibri"/>
              <a:ea typeface="Calibri"/>
              <a:cs typeface="Calibri"/>
              <a:sym typeface="Calibri"/>
            </a:rPr>
            <a:t>HMO</a:t>
          </a:r>
          <a:r>
            <a:rPr lang="en-US" sz="1100" b="0">
              <a:solidFill>
                <a:schemeClr val="dk1"/>
              </a:solidFill>
              <a:latin typeface="Calibri"/>
              <a:ea typeface="Calibri"/>
              <a:cs typeface="Calibri"/>
              <a:sym typeface="Calibri"/>
            </a:rPr>
            <a:t>=  Your choice of health care providers is very limited to a set group of doctors and hospitals, but there is generally no deductible before coverage kicks in.</a:t>
          </a:r>
          <a:endParaRPr sz="1400"/>
        </a:p>
        <a:p>
          <a:pPr marL="0" lvl="0" indent="0" algn="l" rtl="0">
            <a:spcBef>
              <a:spcPts val="0"/>
            </a:spcBef>
            <a:spcAft>
              <a:spcPts val="0"/>
            </a:spcAft>
            <a:buNone/>
          </a:pPr>
          <a:endParaRPr sz="1100" b="0"/>
        </a:p>
        <a:p>
          <a:pPr marL="0" lvl="0" indent="0" algn="l" rtl="0">
            <a:spcBef>
              <a:spcPts val="0"/>
            </a:spcBef>
            <a:spcAft>
              <a:spcPts val="0"/>
            </a:spcAft>
            <a:buNone/>
          </a:pPr>
          <a:r>
            <a:rPr lang="en-US" sz="1100" b="1">
              <a:solidFill>
                <a:schemeClr val="dk1"/>
              </a:solidFill>
              <a:latin typeface="Calibri"/>
              <a:ea typeface="Calibri"/>
              <a:cs typeface="Calibri"/>
              <a:sym typeface="Calibri"/>
            </a:rPr>
            <a:t>PPO</a:t>
          </a:r>
          <a:r>
            <a:rPr lang="en-US" sz="1100" b="0">
              <a:solidFill>
                <a:schemeClr val="dk1"/>
              </a:solidFill>
              <a:latin typeface="Calibri"/>
              <a:ea typeface="Calibri"/>
              <a:cs typeface="Calibri"/>
              <a:sym typeface="Calibri"/>
            </a:rPr>
            <a:t> =  You have a much broader choice in health care providers and have a fairly low deductible (approx. $500)</a:t>
          </a:r>
          <a:endParaRPr sz="1400"/>
        </a:p>
        <a:p>
          <a:pPr marL="0" lvl="0" indent="0" algn="l" rtl="0">
            <a:spcBef>
              <a:spcPts val="0"/>
            </a:spcBef>
            <a:spcAft>
              <a:spcPts val="0"/>
            </a:spcAft>
            <a:buNone/>
          </a:pPr>
          <a:endParaRPr sz="1100" b="0"/>
        </a:p>
        <a:p>
          <a:pPr marL="0" lvl="0" indent="0" algn="l" rtl="0">
            <a:spcBef>
              <a:spcPts val="0"/>
            </a:spcBef>
            <a:spcAft>
              <a:spcPts val="0"/>
            </a:spcAft>
            <a:buNone/>
          </a:pPr>
          <a:r>
            <a:rPr lang="en-US" sz="1100" b="1">
              <a:solidFill>
                <a:schemeClr val="dk1"/>
              </a:solidFill>
              <a:latin typeface="Calibri"/>
              <a:ea typeface="Calibri"/>
              <a:cs typeface="Calibri"/>
              <a:sym typeface="Calibri"/>
            </a:rPr>
            <a:t>HDHP</a:t>
          </a:r>
          <a:r>
            <a:rPr lang="en-US" sz="1100" b="0">
              <a:solidFill>
                <a:schemeClr val="dk1"/>
              </a:solidFill>
              <a:latin typeface="Calibri"/>
              <a:ea typeface="Calibri"/>
              <a:cs typeface="Calibri"/>
              <a:sym typeface="Calibri"/>
            </a:rPr>
            <a:t> = Same as PPO, except your annual deductible is much higher (approx $2,500), so you have to pay more of your healthcare costs before the insurance kicks in.    As a result, your monthly premiums are MUCH lower.  For most healthy young adults, HDHP plans are the best option.</a:t>
          </a:r>
          <a:endParaRPr sz="1400"/>
        </a:p>
        <a:p>
          <a:pPr marL="0" lvl="0" indent="0" algn="l" rtl="0">
            <a:spcBef>
              <a:spcPts val="0"/>
            </a:spcBef>
            <a:spcAft>
              <a:spcPts val="0"/>
            </a:spcAft>
            <a:buNone/>
          </a:pPr>
          <a:endParaRPr sz="1100" b="0"/>
        </a:p>
        <a:p>
          <a:pPr marL="0" lvl="0" indent="0" algn="l" rtl="0">
            <a:spcBef>
              <a:spcPts val="0"/>
            </a:spcBef>
            <a:spcAft>
              <a:spcPts val="0"/>
            </a:spcAft>
            <a:buNone/>
          </a:pPr>
          <a:r>
            <a:rPr lang="en-US" sz="1100" b="1">
              <a:solidFill>
                <a:schemeClr val="dk1"/>
              </a:solidFill>
              <a:latin typeface="Calibri"/>
              <a:ea typeface="Calibri"/>
              <a:cs typeface="Calibri"/>
              <a:sym typeface="Calibri"/>
            </a:rPr>
            <a:t>All plans </a:t>
          </a:r>
          <a:r>
            <a:rPr lang="en-US" sz="1100" b="0">
              <a:solidFill>
                <a:schemeClr val="dk1"/>
              </a:solidFill>
              <a:latin typeface="Calibri"/>
              <a:ea typeface="Calibri"/>
              <a:cs typeface="Calibri"/>
              <a:sym typeface="Calibri"/>
            </a:rPr>
            <a:t>=  Averages of all types of plans</a:t>
          </a:r>
          <a:endParaRPr sz="1400"/>
        </a:p>
        <a:p>
          <a:pPr marL="0" lvl="0" indent="0" algn="l" rtl="0">
            <a:spcBef>
              <a:spcPts val="0"/>
            </a:spcBef>
            <a:spcAft>
              <a:spcPts val="0"/>
            </a:spcAft>
            <a:buNone/>
          </a:pPr>
          <a:endParaRPr sz="1100"/>
        </a:p>
        <a:p>
          <a:pPr marL="0" lvl="0" indent="0" algn="l" rtl="0">
            <a:spcBef>
              <a:spcPts val="0"/>
            </a:spcBef>
            <a:spcAft>
              <a:spcPts val="0"/>
            </a:spcAft>
            <a:buNone/>
          </a:pPr>
          <a:r>
            <a:rPr lang="en-US" sz="1100">
              <a:solidFill>
                <a:schemeClr val="dk1"/>
              </a:solidFill>
              <a:latin typeface="Calibri"/>
              <a:ea typeface="Calibri"/>
              <a:cs typeface="Calibri"/>
              <a:sym typeface="Calibri"/>
            </a:rPr>
            <a:t>Use this information  to fill out the green box to the right.</a:t>
          </a:r>
          <a:endParaRPr sz="1100"/>
        </a:p>
      </xdr:txBody>
    </xdr:sp>
    <xdr:clientData fLocksWithSheet="0"/>
  </xdr:oneCellAnchor>
  <xdr:oneCellAnchor>
    <xdr:from>
      <xdr:col>15</xdr:col>
      <xdr:colOff>85725</xdr:colOff>
      <xdr:row>4</xdr:row>
      <xdr:rowOff>66675</xdr:rowOff>
    </xdr:from>
    <xdr:ext cx="542925" cy="66675"/>
    <xdr:grpSp>
      <xdr:nvGrpSpPr>
        <xdr:cNvPr id="2" name="Shape 2">
          <a:extLst>
            <a:ext uri="{FF2B5EF4-FFF2-40B4-BE49-F238E27FC236}">
              <a16:creationId xmlns:a16="http://schemas.microsoft.com/office/drawing/2014/main" id="{00000000-0008-0000-0700-000002000000}"/>
            </a:ext>
          </a:extLst>
        </xdr:cNvPr>
        <xdr:cNvGrpSpPr/>
      </xdr:nvGrpSpPr>
      <xdr:grpSpPr>
        <a:xfrm>
          <a:off x="10988675" y="777875"/>
          <a:ext cx="542925" cy="66675"/>
          <a:chOff x="5074538" y="3775238"/>
          <a:chExt cx="542925" cy="9525"/>
        </a:xfrm>
      </xdr:grpSpPr>
      <xdr:cxnSp macro="">
        <xdr:nvCxnSpPr>
          <xdr:cNvPr id="7" name="Shape 7">
            <a:extLst>
              <a:ext uri="{FF2B5EF4-FFF2-40B4-BE49-F238E27FC236}">
                <a16:creationId xmlns:a16="http://schemas.microsoft.com/office/drawing/2014/main" id="{00000000-0008-0000-0700-000007000000}"/>
              </a:ext>
            </a:extLst>
          </xdr:cNvPr>
          <xdr:cNvCxnSpPr/>
        </xdr:nvCxnSpPr>
        <xdr:spPr>
          <a:xfrm flipH="1">
            <a:off x="5074538" y="3775238"/>
            <a:ext cx="542925" cy="9525"/>
          </a:xfrm>
          <a:prstGeom prst="straightConnector1">
            <a:avLst/>
          </a:prstGeom>
          <a:noFill/>
          <a:ln w="76200" cap="flat" cmpd="sng">
            <a:solidFill>
              <a:srgbClr val="FF0000"/>
            </a:solidFill>
            <a:prstDash val="solid"/>
            <a:miter lim="800000"/>
            <a:headEnd type="none" w="sm" len="sm"/>
            <a:tailEnd type="triangle" w="med" len="med"/>
          </a:ln>
        </xdr:spPr>
      </xdr:cxnSp>
    </xdr:grpSp>
    <xdr:clientData fLocksWithSheet="0"/>
  </xdr:oneCellAnchor>
  <xdr:oneCellAnchor>
    <xdr:from>
      <xdr:col>16</xdr:col>
      <xdr:colOff>38100</xdr:colOff>
      <xdr:row>2</xdr:row>
      <xdr:rowOff>76200</xdr:rowOff>
    </xdr:from>
    <xdr:ext cx="1905000" cy="1085850"/>
    <xdr:sp macro="" textlink="">
      <xdr:nvSpPr>
        <xdr:cNvPr id="34" name="Shape 34">
          <a:extLst>
            <a:ext uri="{FF2B5EF4-FFF2-40B4-BE49-F238E27FC236}">
              <a16:creationId xmlns:a16="http://schemas.microsoft.com/office/drawing/2014/main" id="{00000000-0008-0000-0700-000022000000}"/>
            </a:ext>
          </a:extLst>
        </xdr:cNvPr>
        <xdr:cNvSpPr txBox="1"/>
      </xdr:nvSpPr>
      <xdr:spPr>
        <a:xfrm>
          <a:off x="4393500" y="3241838"/>
          <a:ext cx="1905000" cy="1076325"/>
        </a:xfrm>
        <a:prstGeom prst="rect">
          <a:avLst/>
        </a:prstGeom>
        <a:solidFill>
          <a:srgbClr val="DDEAF6"/>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dk1"/>
              </a:solidFill>
              <a:latin typeface="Calibri"/>
              <a:ea typeface="Calibri"/>
              <a:cs typeface="Calibri"/>
              <a:sym typeface="Calibri"/>
            </a:rPr>
            <a:t>BE sure to use </a:t>
          </a:r>
          <a:r>
            <a:rPr lang="en-US" sz="1100" b="1">
              <a:solidFill>
                <a:schemeClr val="dk1"/>
              </a:solidFill>
              <a:latin typeface="Calibri"/>
              <a:ea typeface="Calibri"/>
              <a:cs typeface="Calibri"/>
              <a:sym typeface="Calibri"/>
            </a:rPr>
            <a:t>just</a:t>
          </a:r>
          <a:r>
            <a:rPr lang="en-US" sz="1100">
              <a:solidFill>
                <a:schemeClr val="dk1"/>
              </a:solidFill>
              <a:latin typeface="Calibri"/>
              <a:ea typeface="Calibri"/>
              <a:cs typeface="Calibri"/>
              <a:sym typeface="Calibri"/>
            </a:rPr>
            <a:t> the EMPLOYEE contribution  UNLESS you are self-employed.  If you are self-employed, use the FULL cost for the year.</a:t>
          </a:r>
          <a:endParaRPr sz="11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hyperlink" Target="https://taxfoundation.org/local-income-taxes-2019/" TargetMode="External"/><Relationship Id="rId2" Type="http://schemas.openxmlformats.org/officeDocument/2006/relationships/hyperlink" Target="http://ccatax.ci.cleveland.oh.us/?p=taxrates" TargetMode="External"/><Relationship Id="rId1" Type="http://schemas.openxmlformats.org/officeDocument/2006/relationships/hyperlink" Target="https://www.ritaohio.com/municipalities"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hyperlink" Target="https://taxfoundation.org/publications/state-individual-income-tax-rates-and-brackets/" TargetMode="Externa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https://www.kff.org/health-costs/report/2022-employer-health-benefits-surve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000"/>
  <sheetViews>
    <sheetView workbookViewId="0"/>
  </sheetViews>
  <sheetFormatPr defaultColWidth="14.453125" defaultRowHeight="15" customHeight="1" x14ac:dyDescent="0.35"/>
  <cols>
    <col min="1" max="26" width="8.6328125" customWidth="1"/>
  </cols>
  <sheetData>
    <row r="1" ht="14.25" customHeight="1" x14ac:dyDescent="0.35"/>
    <row r="2" ht="14.25" customHeight="1" x14ac:dyDescent="0.35"/>
    <row r="3" ht="14.25" customHeight="1" x14ac:dyDescent="0.35"/>
    <row r="4" ht="14.25" customHeight="1" x14ac:dyDescent="0.35"/>
    <row r="5" ht="14.25" customHeight="1" x14ac:dyDescent="0.35"/>
    <row r="6" ht="14.25" customHeight="1" x14ac:dyDescent="0.35"/>
    <row r="7" ht="14.25" customHeight="1" x14ac:dyDescent="0.35"/>
    <row r="8" ht="14.25" customHeight="1" x14ac:dyDescent="0.35"/>
    <row r="9" ht="14.25" customHeight="1" x14ac:dyDescent="0.35"/>
    <row r="10" ht="14.25" customHeight="1" x14ac:dyDescent="0.35"/>
    <row r="11" ht="14.25" customHeight="1" x14ac:dyDescent="0.35"/>
    <row r="12" ht="14.25" customHeight="1" x14ac:dyDescent="0.35"/>
    <row r="13" ht="14.25" customHeight="1" x14ac:dyDescent="0.35"/>
    <row r="14" ht="14.25" customHeight="1" x14ac:dyDescent="0.35"/>
    <row r="15" ht="14.25" customHeight="1" x14ac:dyDescent="0.35"/>
    <row r="16"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D1:M1000"/>
  <sheetViews>
    <sheetView workbookViewId="0">
      <selection activeCell="M13" sqref="M13"/>
    </sheetView>
  </sheetViews>
  <sheetFormatPr defaultColWidth="14.453125" defaultRowHeight="15" customHeight="1" x14ac:dyDescent="0.35"/>
  <cols>
    <col min="1" max="11" width="8.6328125" customWidth="1"/>
    <col min="12" max="12" width="31.1796875" customWidth="1"/>
    <col min="13" max="13" width="26.6328125" customWidth="1"/>
    <col min="14" max="26" width="8.6328125" customWidth="1"/>
  </cols>
  <sheetData>
    <row r="1" spans="4:13" ht="14.25" customHeight="1" x14ac:dyDescent="0.35"/>
    <row r="2" spans="4:13" ht="14.25" customHeight="1" x14ac:dyDescent="0.35"/>
    <row r="3" spans="4:13" ht="14.25" customHeight="1" x14ac:dyDescent="0.35">
      <c r="L3" s="1" t="s">
        <v>0</v>
      </c>
      <c r="M3" s="2" t="s">
        <v>201</v>
      </c>
    </row>
    <row r="4" spans="4:13" ht="14.25" customHeight="1" x14ac:dyDescent="0.35">
      <c r="L4" s="1" t="s">
        <v>1</v>
      </c>
      <c r="M4" s="2" t="s">
        <v>202</v>
      </c>
    </row>
    <row r="5" spans="4:13" ht="14.25" customHeight="1" x14ac:dyDescent="0.35">
      <c r="L5" s="1" t="s">
        <v>2</v>
      </c>
      <c r="M5" s="2" t="s">
        <v>203</v>
      </c>
    </row>
    <row r="6" spans="4:13" ht="14.25" customHeight="1" x14ac:dyDescent="0.35">
      <c r="L6" s="1" t="s">
        <v>3</v>
      </c>
      <c r="M6" s="2" t="s">
        <v>204</v>
      </c>
    </row>
    <row r="7" spans="4:13" ht="14.25" customHeight="1" x14ac:dyDescent="0.35"/>
    <row r="8" spans="4:13" ht="14.25" customHeight="1" x14ac:dyDescent="0.35"/>
    <row r="9" spans="4:13" ht="14.25" customHeight="1" x14ac:dyDescent="0.35">
      <c r="L9" s="1" t="s">
        <v>4</v>
      </c>
      <c r="M9" s="56">
        <v>84307</v>
      </c>
    </row>
    <row r="10" spans="4:13" ht="14.25" customHeight="1" x14ac:dyDescent="0.35">
      <c r="L10" s="1" t="s">
        <v>5</v>
      </c>
      <c r="M10" s="3">
        <v>0</v>
      </c>
    </row>
    <row r="11" spans="4:13" ht="14.25" customHeight="1" x14ac:dyDescent="0.35">
      <c r="L11" s="1" t="s">
        <v>6</v>
      </c>
      <c r="M11" s="57">
        <f>M9+M10</f>
        <v>84307</v>
      </c>
    </row>
    <row r="12" spans="4:13" ht="14.25" customHeight="1" x14ac:dyDescent="0.35">
      <c r="L12" s="1" t="s">
        <v>7</v>
      </c>
      <c r="M12" s="1">
        <v>12</v>
      </c>
    </row>
    <row r="13" spans="4:13" ht="14.25" customHeight="1" x14ac:dyDescent="0.35">
      <c r="L13" s="1" t="s">
        <v>8</v>
      </c>
      <c r="M13" s="58">
        <f>M11/M12</f>
        <v>7025.583333333333</v>
      </c>
    </row>
    <row r="14" spans="4:13" ht="14.25" customHeight="1" x14ac:dyDescent="0.35"/>
    <row r="15" spans="4:13" ht="14.25" customHeight="1" x14ac:dyDescent="0.35"/>
    <row r="16" spans="4:13" ht="14.25" customHeight="1" x14ac:dyDescent="0.35">
      <c r="D16" s="5"/>
    </row>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000"/>
  <sheetViews>
    <sheetView workbookViewId="0">
      <selection activeCell="M3" sqref="M3"/>
    </sheetView>
  </sheetViews>
  <sheetFormatPr defaultColWidth="14.453125" defaultRowHeight="15" customHeight="1" x14ac:dyDescent="0.35"/>
  <cols>
    <col min="1" max="1" width="16.81640625" customWidth="1"/>
    <col min="2" max="2" width="12.453125" customWidth="1"/>
    <col min="3" max="11" width="8.6328125" customWidth="1"/>
    <col min="12" max="12" width="37.453125" customWidth="1"/>
    <col min="13" max="13" width="14.1796875" customWidth="1"/>
    <col min="14" max="26" width="8.6328125" customWidth="1"/>
  </cols>
  <sheetData>
    <row r="1" spans="12:13" ht="14.25" customHeight="1" x14ac:dyDescent="0.35"/>
    <row r="2" spans="12:13" ht="14.25" customHeight="1" x14ac:dyDescent="0.35"/>
    <row r="3" spans="12:13" ht="14.25" customHeight="1" x14ac:dyDescent="0.35">
      <c r="L3" s="6" t="s">
        <v>9</v>
      </c>
      <c r="M3" s="56">
        <f>'2. Income'!M9</f>
        <v>84307</v>
      </c>
    </row>
    <row r="4" spans="12:13" ht="14.25" customHeight="1" x14ac:dyDescent="0.35">
      <c r="L4" s="1" t="s">
        <v>10</v>
      </c>
      <c r="M4" s="7">
        <v>7.6499999999999999E-2</v>
      </c>
    </row>
    <row r="5" spans="12:13" ht="14.25" customHeight="1" x14ac:dyDescent="0.35">
      <c r="L5" s="1" t="s">
        <v>11</v>
      </c>
      <c r="M5" s="8">
        <f>M3*M4</f>
        <v>6449.4854999999998</v>
      </c>
    </row>
    <row r="6" spans="12:13" ht="14.25" customHeight="1" x14ac:dyDescent="0.35">
      <c r="L6" s="1" t="s">
        <v>12</v>
      </c>
      <c r="M6" s="9">
        <v>12</v>
      </c>
    </row>
    <row r="7" spans="12:13" ht="14.25" customHeight="1" x14ac:dyDescent="0.35">
      <c r="L7" s="1" t="s">
        <v>13</v>
      </c>
      <c r="M7" s="10">
        <f>M5/M6</f>
        <v>537.45712500000002</v>
      </c>
    </row>
    <row r="8" spans="12:13" ht="14.25" customHeight="1" x14ac:dyDescent="0.35"/>
    <row r="9" spans="12:13" ht="14.25" customHeight="1" x14ac:dyDescent="0.35"/>
    <row r="10" spans="12:13" ht="14.25" customHeight="1" x14ac:dyDescent="0.35">
      <c r="L10" s="6" t="s">
        <v>14</v>
      </c>
      <c r="M10" s="3"/>
    </row>
    <row r="11" spans="12:13" ht="14.25" customHeight="1" x14ac:dyDescent="0.35">
      <c r="L11" s="1" t="s">
        <v>15</v>
      </c>
      <c r="M11" s="11">
        <f>B21</f>
        <v>147000</v>
      </c>
    </row>
    <row r="12" spans="12:13" ht="14.25" customHeight="1" x14ac:dyDescent="0.35">
      <c r="L12" s="1" t="s">
        <v>16</v>
      </c>
      <c r="M12" s="11">
        <f>M10-M11</f>
        <v>-147000</v>
      </c>
    </row>
    <row r="13" spans="12:13" ht="14.25" customHeight="1" x14ac:dyDescent="0.35">
      <c r="L13" s="1" t="s">
        <v>17</v>
      </c>
      <c r="M13" s="7">
        <v>1.4500000000000001E-2</v>
      </c>
    </row>
    <row r="14" spans="12:13" ht="14.25" customHeight="1" x14ac:dyDescent="0.35">
      <c r="L14" s="1" t="s">
        <v>18</v>
      </c>
      <c r="M14" s="12"/>
    </row>
    <row r="15" spans="12:13" ht="14.25" customHeight="1" x14ac:dyDescent="0.35">
      <c r="L15" s="13" t="s">
        <v>19</v>
      </c>
      <c r="M15" s="11"/>
    </row>
    <row r="16" spans="12:13" ht="14.25" customHeight="1" x14ac:dyDescent="0.35">
      <c r="L16" s="1" t="s">
        <v>20</v>
      </c>
      <c r="M16" s="11">
        <f>B21</f>
        <v>147000</v>
      </c>
    </row>
    <row r="17" spans="1:13" ht="14.25" customHeight="1" x14ac:dyDescent="0.35">
      <c r="L17" s="1" t="s">
        <v>21</v>
      </c>
      <c r="M17" s="7">
        <f>M4</f>
        <v>7.6499999999999999E-2</v>
      </c>
    </row>
    <row r="18" spans="1:13" ht="14.25" customHeight="1" x14ac:dyDescent="0.35">
      <c r="L18" s="1" t="s">
        <v>22</v>
      </c>
      <c r="M18" s="11">
        <f>M16*M17</f>
        <v>11245.5</v>
      </c>
    </row>
    <row r="19" spans="1:13" ht="14.25" customHeight="1" x14ac:dyDescent="0.35">
      <c r="L19" s="1"/>
      <c r="M19" s="11"/>
    </row>
    <row r="20" spans="1:13" ht="14.25" customHeight="1" x14ac:dyDescent="0.35">
      <c r="L20" s="1" t="s">
        <v>23</v>
      </c>
      <c r="M20" s="11">
        <f>M14+M18</f>
        <v>11245.5</v>
      </c>
    </row>
    <row r="21" spans="1:13" ht="14.25" customHeight="1" x14ac:dyDescent="0.35">
      <c r="A21" s="14" t="s">
        <v>24</v>
      </c>
      <c r="B21" s="15">
        <v>147000</v>
      </c>
      <c r="L21" s="1" t="s">
        <v>12</v>
      </c>
      <c r="M21" s="11">
        <v>12</v>
      </c>
    </row>
    <row r="22" spans="1:13" ht="14.25" customHeight="1" x14ac:dyDescent="0.35">
      <c r="L22" s="1" t="s">
        <v>13</v>
      </c>
      <c r="M22" s="10"/>
    </row>
    <row r="23" spans="1:13" ht="14.25" customHeight="1" x14ac:dyDescent="0.35"/>
    <row r="24" spans="1:13" ht="14.25" customHeight="1" x14ac:dyDescent="0.35"/>
    <row r="25" spans="1:13" ht="14.25" customHeight="1" x14ac:dyDescent="0.35">
      <c r="L25" s="1" t="s">
        <v>25</v>
      </c>
      <c r="M25" s="2">
        <v>0</v>
      </c>
    </row>
    <row r="26" spans="1:13" ht="14.25" customHeight="1" x14ac:dyDescent="0.35">
      <c r="L26" s="1" t="s">
        <v>26</v>
      </c>
      <c r="M26" s="4">
        <v>0</v>
      </c>
    </row>
    <row r="27" spans="1:13" ht="14.25" customHeight="1" x14ac:dyDescent="0.35">
      <c r="L27" s="1" t="s">
        <v>12</v>
      </c>
      <c r="M27" s="1">
        <v>12</v>
      </c>
    </row>
    <row r="28" spans="1:13" ht="14.25" customHeight="1" x14ac:dyDescent="0.35">
      <c r="L28" s="1" t="s">
        <v>27</v>
      </c>
      <c r="M28" s="10">
        <v>0</v>
      </c>
    </row>
    <row r="29" spans="1:13" ht="14.25" customHeight="1" x14ac:dyDescent="0.35">
      <c r="L29" s="1" t="s">
        <v>28</v>
      </c>
      <c r="M29" s="3">
        <f>M28+M7</f>
        <v>537.45712500000002</v>
      </c>
    </row>
    <row r="30" spans="1:13" ht="14.25" customHeight="1" x14ac:dyDescent="0.35">
      <c r="L30" s="1" t="s">
        <v>29</v>
      </c>
      <c r="M30" s="4">
        <f>M29</f>
        <v>537.45712500000002</v>
      </c>
    </row>
    <row r="31" spans="1:13" ht="14.25" customHeight="1" x14ac:dyDescent="0.35"/>
    <row r="32" spans="1:13"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G1000"/>
  <sheetViews>
    <sheetView workbookViewId="0">
      <selection activeCell="G4" sqref="G4"/>
    </sheetView>
  </sheetViews>
  <sheetFormatPr defaultColWidth="14.453125" defaultRowHeight="15" customHeight="1" x14ac:dyDescent="0.35"/>
  <cols>
    <col min="1" max="1" width="8.6328125" customWidth="1"/>
    <col min="2" max="2" width="48.453125" customWidth="1"/>
    <col min="3" max="5" width="8.6328125" customWidth="1"/>
    <col min="6" max="6" width="34.6328125" customWidth="1"/>
    <col min="7" max="7" width="15.36328125" customWidth="1"/>
    <col min="8" max="26" width="8.6328125" customWidth="1"/>
  </cols>
  <sheetData>
    <row r="1" spans="6:7" ht="14.25" customHeight="1" x14ac:dyDescent="0.35"/>
    <row r="2" spans="6:7" ht="14.25" customHeight="1" x14ac:dyDescent="0.35">
      <c r="F2" s="1" t="s">
        <v>30</v>
      </c>
      <c r="G2" s="2" t="s">
        <v>205</v>
      </c>
    </row>
    <row r="3" spans="6:7" ht="14.25" customHeight="1" x14ac:dyDescent="0.35"/>
    <row r="4" spans="6:7" ht="14.25" customHeight="1" x14ac:dyDescent="0.35">
      <c r="F4" s="1" t="s">
        <v>31</v>
      </c>
      <c r="G4" s="56">
        <f>'2. Income'!M9</f>
        <v>84307</v>
      </c>
    </row>
    <row r="5" spans="6:7" ht="14.25" customHeight="1" x14ac:dyDescent="0.35">
      <c r="F5" s="1" t="s">
        <v>32</v>
      </c>
      <c r="G5" s="59">
        <v>2.5000000000000001E-2</v>
      </c>
    </row>
    <row r="6" spans="6:7" ht="14.25" customHeight="1" x14ac:dyDescent="0.35">
      <c r="F6" s="1" t="s">
        <v>33</v>
      </c>
      <c r="G6" s="58">
        <f>G4*G5</f>
        <v>2107.6750000000002</v>
      </c>
    </row>
    <row r="7" spans="6:7" ht="14.25" customHeight="1" x14ac:dyDescent="0.35">
      <c r="F7" s="16" t="s">
        <v>34</v>
      </c>
      <c r="G7" s="17"/>
    </row>
    <row r="8" spans="6:7" ht="14.25" customHeight="1" x14ac:dyDescent="0.35">
      <c r="F8" s="1" t="s">
        <v>35</v>
      </c>
      <c r="G8" s="2">
        <v>0</v>
      </c>
    </row>
    <row r="9" spans="6:7" ht="14.25" customHeight="1" x14ac:dyDescent="0.35"/>
    <row r="10" spans="6:7" ht="14.25" customHeight="1" x14ac:dyDescent="0.35">
      <c r="F10" s="1" t="s">
        <v>7</v>
      </c>
      <c r="G10" s="1">
        <v>12</v>
      </c>
    </row>
    <row r="11" spans="6:7" ht="14.25" customHeight="1" x14ac:dyDescent="0.35">
      <c r="F11" s="1" t="s">
        <v>36</v>
      </c>
      <c r="G11" s="58">
        <f>G6/G10</f>
        <v>175.63958333333335</v>
      </c>
    </row>
    <row r="12" spans="6:7" ht="14.25" customHeight="1" x14ac:dyDescent="0.35"/>
    <row r="13" spans="6:7" ht="14.25" customHeight="1" x14ac:dyDescent="0.35"/>
    <row r="14" spans="6:7" ht="14.25" customHeight="1" x14ac:dyDescent="0.35"/>
    <row r="15" spans="6:7" ht="14.25" customHeight="1" x14ac:dyDescent="0.35"/>
    <row r="16" spans="6:7" ht="14.25" customHeight="1" x14ac:dyDescent="0.35"/>
    <row r="17" spans="2:4" ht="14.25" customHeight="1" x14ac:dyDescent="0.35"/>
    <row r="18" spans="2:4" ht="14.25" customHeight="1" x14ac:dyDescent="0.35"/>
    <row r="19" spans="2:4" ht="14.25" customHeight="1" x14ac:dyDescent="0.35"/>
    <row r="20" spans="2:4" ht="14.25" customHeight="1" x14ac:dyDescent="0.35"/>
    <row r="21" spans="2:4" ht="14.25" customHeight="1" x14ac:dyDescent="0.35"/>
    <row r="22" spans="2:4" ht="14.25" customHeight="1" x14ac:dyDescent="0.35"/>
    <row r="23" spans="2:4" ht="14.25" customHeight="1" x14ac:dyDescent="0.35"/>
    <row r="24" spans="2:4" ht="14.25" customHeight="1" x14ac:dyDescent="0.35"/>
    <row r="25" spans="2:4" ht="14.25" customHeight="1" x14ac:dyDescent="0.35">
      <c r="D25" s="5"/>
    </row>
    <row r="26" spans="2:4" ht="14.25" customHeight="1" x14ac:dyDescent="0.35"/>
    <row r="27" spans="2:4" ht="14.25" customHeight="1" x14ac:dyDescent="0.35">
      <c r="B27" s="5" t="s">
        <v>37</v>
      </c>
    </row>
    <row r="28" spans="2:4" ht="14.25" customHeight="1" x14ac:dyDescent="0.35"/>
    <row r="29" spans="2:4" ht="14.25" customHeight="1" x14ac:dyDescent="0.35">
      <c r="B29" s="5" t="s">
        <v>38</v>
      </c>
    </row>
    <row r="30" spans="2:4" ht="14.25" customHeight="1" x14ac:dyDescent="0.35"/>
    <row r="31" spans="2:4" ht="14.25" customHeight="1" x14ac:dyDescent="0.35">
      <c r="B31" s="5" t="s">
        <v>39</v>
      </c>
    </row>
    <row r="32" spans="2:4"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hyperlinks>
    <hyperlink ref="B27" r:id="rId1" xr:uid="{00000000-0004-0000-0300-000000000000}"/>
    <hyperlink ref="B29" r:id="rId2" xr:uid="{00000000-0004-0000-0300-000001000000}"/>
    <hyperlink ref="B31" r:id="rId3" xr:uid="{00000000-0004-0000-0300-000002000000}"/>
  </hyperlinks>
  <pageMargins left="0.7" right="0.7" top="0.75" bottom="0.75" header="0" footer="0"/>
  <pageSetup orientation="landscape"/>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M1:N1000"/>
  <sheetViews>
    <sheetView topLeftCell="G1" workbookViewId="0">
      <selection activeCell="N6" sqref="N6"/>
    </sheetView>
  </sheetViews>
  <sheetFormatPr defaultColWidth="14.453125" defaultRowHeight="15" customHeight="1" x14ac:dyDescent="0.35"/>
  <cols>
    <col min="1" max="12" width="8.6328125" customWidth="1"/>
    <col min="13" max="13" width="44" customWidth="1"/>
    <col min="14" max="14" width="11.81640625" customWidth="1"/>
    <col min="15" max="26" width="8.6328125" customWidth="1"/>
  </cols>
  <sheetData>
    <row r="1" spans="13:14" ht="14.25" customHeight="1" x14ac:dyDescent="0.35"/>
    <row r="2" spans="13:14" ht="14.25" customHeight="1" x14ac:dyDescent="0.35"/>
    <row r="3" spans="13:14" ht="14.25" customHeight="1" x14ac:dyDescent="0.35"/>
    <row r="4" spans="13:14" ht="14.25" customHeight="1" x14ac:dyDescent="0.35">
      <c r="M4" s="18" t="s">
        <v>40</v>
      </c>
    </row>
    <row r="5" spans="13:14" ht="14.25" customHeight="1" x14ac:dyDescent="0.35">
      <c r="M5" s="19" t="s">
        <v>41</v>
      </c>
      <c r="N5" s="1"/>
    </row>
    <row r="6" spans="13:14" ht="14.25" customHeight="1" x14ac:dyDescent="0.35">
      <c r="M6" s="1" t="s">
        <v>42</v>
      </c>
      <c r="N6" s="56">
        <f>'2. Income'!M9</f>
        <v>84307</v>
      </c>
    </row>
    <row r="7" spans="13:14" ht="14.25" customHeight="1" x14ac:dyDescent="0.35">
      <c r="M7" s="20" t="s">
        <v>43</v>
      </c>
      <c r="N7" s="10">
        <f>0.1*N6</f>
        <v>8430.7000000000007</v>
      </c>
    </row>
    <row r="8" spans="13:14" ht="14.25" customHeight="1" x14ac:dyDescent="0.35">
      <c r="M8" s="20" t="s">
        <v>44</v>
      </c>
      <c r="N8" s="10">
        <f>0.15*N6</f>
        <v>12646.05</v>
      </c>
    </row>
    <row r="9" spans="13:14" ht="14.25" customHeight="1" x14ac:dyDescent="0.35"/>
    <row r="10" spans="13:14" ht="14.25" customHeight="1" x14ac:dyDescent="0.35">
      <c r="M10" s="18" t="s">
        <v>45</v>
      </c>
    </row>
    <row r="11" spans="13:14" ht="14.25" customHeight="1" x14ac:dyDescent="0.35">
      <c r="M11" s="19" t="s">
        <v>46</v>
      </c>
      <c r="N11" s="11" t="s">
        <v>47</v>
      </c>
    </row>
    <row r="12" spans="13:14" ht="14.25" customHeight="1" x14ac:dyDescent="0.35">
      <c r="M12" s="1" t="s">
        <v>48</v>
      </c>
      <c r="N12" s="3">
        <f>AVERAGE(N7,N8)</f>
        <v>10538.375</v>
      </c>
    </row>
    <row r="13" spans="13:14" ht="14.25" customHeight="1" x14ac:dyDescent="0.35">
      <c r="M13" s="21" t="s">
        <v>49</v>
      </c>
      <c r="N13" s="3">
        <f>N12-N15-N16-2000</f>
        <v>1538.375</v>
      </c>
    </row>
    <row r="14" spans="13:14" ht="14.25" customHeight="1" x14ac:dyDescent="0.35">
      <c r="M14" s="21" t="s">
        <v>50</v>
      </c>
      <c r="N14" s="3">
        <f>N12-N13-N15-N16</f>
        <v>2000</v>
      </c>
    </row>
    <row r="15" spans="13:14" ht="14.25" customHeight="1" x14ac:dyDescent="0.35">
      <c r="M15" s="21" t="s">
        <v>51</v>
      </c>
      <c r="N15" s="3">
        <v>3000</v>
      </c>
    </row>
    <row r="16" spans="13:14" ht="14.25" customHeight="1" x14ac:dyDescent="0.35">
      <c r="M16" s="21" t="s">
        <v>52</v>
      </c>
      <c r="N16" s="3">
        <v>4000</v>
      </c>
    </row>
    <row r="17" spans="13:14" ht="14.25" customHeight="1" x14ac:dyDescent="0.35"/>
    <row r="18" spans="13:14" ht="14.25" customHeight="1" x14ac:dyDescent="0.35">
      <c r="M18" s="22" t="s">
        <v>53</v>
      </c>
      <c r="N18" s="1"/>
    </row>
    <row r="19" spans="13:14" ht="14.25" customHeight="1" x14ac:dyDescent="0.35">
      <c r="M19" s="21" t="s">
        <v>54</v>
      </c>
      <c r="N19" s="60">
        <f>N13/12</f>
        <v>128.19791666666666</v>
      </c>
    </row>
    <row r="20" spans="13:14" ht="14.25" customHeight="1" x14ac:dyDescent="0.35">
      <c r="M20" s="21" t="s">
        <v>55</v>
      </c>
      <c r="N20" s="60">
        <f t="shared" ref="N20:N22" si="0">N14/12</f>
        <v>166.66666666666666</v>
      </c>
    </row>
    <row r="21" spans="13:14" ht="14.25" customHeight="1" x14ac:dyDescent="0.35">
      <c r="M21" s="21" t="s">
        <v>56</v>
      </c>
      <c r="N21" s="60">
        <f t="shared" si="0"/>
        <v>250</v>
      </c>
    </row>
    <row r="22" spans="13:14" ht="14.25" customHeight="1" x14ac:dyDescent="0.35">
      <c r="M22" s="21" t="s">
        <v>57</v>
      </c>
      <c r="N22" s="60">
        <f t="shared" si="0"/>
        <v>333.33333333333331</v>
      </c>
    </row>
    <row r="23" spans="13:14" ht="14.25" customHeight="1" x14ac:dyDescent="0.35"/>
    <row r="24" spans="13:14" ht="14.25" customHeight="1" x14ac:dyDescent="0.35"/>
    <row r="25" spans="13:14" ht="14.25" customHeight="1" x14ac:dyDescent="0.35"/>
    <row r="26" spans="13:14" ht="14.25" customHeight="1" x14ac:dyDescent="0.35"/>
    <row r="27" spans="13:14" ht="14.25" customHeight="1" x14ac:dyDescent="0.35"/>
    <row r="28" spans="13:14" ht="14.25" customHeight="1" x14ac:dyDescent="0.35"/>
    <row r="29" spans="13:14" ht="14.25" customHeight="1" x14ac:dyDescent="0.35"/>
    <row r="30" spans="13:14" ht="14.25" customHeight="1" x14ac:dyDescent="0.35"/>
    <row r="31" spans="13:14" ht="14.25" customHeight="1" x14ac:dyDescent="0.35"/>
    <row r="32" spans="13:14"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000"/>
  <sheetViews>
    <sheetView topLeftCell="D1" workbookViewId="0">
      <selection activeCell="I17" sqref="I17"/>
    </sheetView>
  </sheetViews>
  <sheetFormatPr defaultColWidth="14.453125" defaultRowHeight="15" customHeight="1" x14ac:dyDescent="0.35"/>
  <cols>
    <col min="1" max="1" width="31.36328125" customWidth="1"/>
    <col min="2" max="2" width="15.453125" customWidth="1"/>
    <col min="3" max="3" width="13.453125" customWidth="1"/>
    <col min="4" max="6" width="8.6328125" customWidth="1"/>
    <col min="7" max="7" width="63.453125" customWidth="1"/>
    <col min="8" max="8" width="48.453125" customWidth="1"/>
    <col min="9" max="9" width="20.81640625" customWidth="1"/>
    <col min="10" max="26" width="8.6328125" customWidth="1"/>
  </cols>
  <sheetData>
    <row r="1" spans="7:9" ht="14.25" customHeight="1" x14ac:dyDescent="0.35"/>
    <row r="2" spans="7:9" ht="14.25" customHeight="1" x14ac:dyDescent="0.35">
      <c r="G2" s="18" t="s">
        <v>58</v>
      </c>
      <c r="H2" s="23" t="s">
        <v>59</v>
      </c>
    </row>
    <row r="3" spans="7:9" ht="14.25" customHeight="1" x14ac:dyDescent="0.35">
      <c r="G3" s="1" t="s">
        <v>60</v>
      </c>
      <c r="H3" s="56">
        <f>'2. Income'!M9</f>
        <v>84307</v>
      </c>
    </row>
    <row r="4" spans="7:9" ht="14.25" customHeight="1" x14ac:dyDescent="0.35">
      <c r="G4" s="1" t="s">
        <v>61</v>
      </c>
      <c r="H4" s="3">
        <f>'5. Retirement contributions'!N13</f>
        <v>1538.375</v>
      </c>
    </row>
    <row r="5" spans="7:9" ht="14.25" customHeight="1" x14ac:dyDescent="0.35">
      <c r="G5" s="1" t="s">
        <v>62</v>
      </c>
      <c r="H5" s="3">
        <f>'5. Retirement contributions'!N15</f>
        <v>3000</v>
      </c>
    </row>
    <row r="6" spans="7:9" ht="14.25" customHeight="1" x14ac:dyDescent="0.35">
      <c r="G6" s="1" t="s">
        <v>63</v>
      </c>
      <c r="H6" s="3">
        <f>B37</f>
        <v>274.82</v>
      </c>
    </row>
    <row r="7" spans="7:9" ht="14.25" customHeight="1" x14ac:dyDescent="0.35">
      <c r="G7" s="24" t="s">
        <v>64</v>
      </c>
      <c r="H7" s="11">
        <f>H3-H4-H5-H6</f>
        <v>79493.804999999993</v>
      </c>
    </row>
    <row r="8" spans="7:9" ht="14.25" customHeight="1" x14ac:dyDescent="0.35">
      <c r="G8" s="1" t="s">
        <v>65</v>
      </c>
      <c r="H8" s="11">
        <v>12950</v>
      </c>
    </row>
    <row r="9" spans="7:9" ht="14.25" customHeight="1" x14ac:dyDescent="0.35">
      <c r="G9" s="6" t="s">
        <v>66</v>
      </c>
      <c r="H9" s="10">
        <f>H7-H8</f>
        <v>66543.804999999993</v>
      </c>
    </row>
    <row r="10" spans="7:9" ht="14.25" customHeight="1" x14ac:dyDescent="0.35"/>
    <row r="11" spans="7:9" ht="14.25" customHeight="1" x14ac:dyDescent="0.35"/>
    <row r="12" spans="7:9" ht="14.25" customHeight="1" x14ac:dyDescent="0.35"/>
    <row r="13" spans="7:9" ht="14.25" customHeight="1" x14ac:dyDescent="0.35">
      <c r="G13" s="18" t="s">
        <v>67</v>
      </c>
    </row>
    <row r="14" spans="7:9" ht="27" customHeight="1" x14ac:dyDescent="0.35">
      <c r="G14" s="25" t="s">
        <v>68</v>
      </c>
      <c r="H14" s="25" t="s">
        <v>69</v>
      </c>
      <c r="I14" s="25" t="s">
        <v>70</v>
      </c>
    </row>
    <row r="15" spans="7:9" ht="14.25" customHeight="1" x14ac:dyDescent="0.35">
      <c r="G15" s="26" t="s">
        <v>71</v>
      </c>
      <c r="H15" s="26" t="s">
        <v>72</v>
      </c>
      <c r="I15" s="27" t="s">
        <v>207</v>
      </c>
    </row>
    <row r="16" spans="7:9" ht="14.25" customHeight="1" x14ac:dyDescent="0.35">
      <c r="G16" s="26" t="s">
        <v>73</v>
      </c>
      <c r="H16" s="26" t="s">
        <v>74</v>
      </c>
      <c r="I16" s="27" t="s">
        <v>207</v>
      </c>
    </row>
    <row r="17" spans="7:9" ht="14.25" customHeight="1" x14ac:dyDescent="0.35">
      <c r="G17" s="26" t="s">
        <v>75</v>
      </c>
      <c r="H17" s="26" t="s">
        <v>76</v>
      </c>
      <c r="I17" s="62">
        <f>(H9-41775)*0.22+4807</f>
        <v>10256.137099999998</v>
      </c>
    </row>
    <row r="18" spans="7:9" ht="14.25" customHeight="1" x14ac:dyDescent="0.35">
      <c r="G18" s="26" t="s">
        <v>77</v>
      </c>
      <c r="H18" s="26" t="s">
        <v>78</v>
      </c>
      <c r="I18" s="27" t="s">
        <v>207</v>
      </c>
    </row>
    <row r="19" spans="7:9" ht="13.5" customHeight="1" x14ac:dyDescent="0.35">
      <c r="G19" s="26" t="s">
        <v>79</v>
      </c>
      <c r="H19" s="26" t="s">
        <v>80</v>
      </c>
      <c r="I19" s="27" t="s">
        <v>207</v>
      </c>
    </row>
    <row r="20" spans="7:9" ht="18" customHeight="1" x14ac:dyDescent="0.35">
      <c r="G20" s="26" t="s">
        <v>81</v>
      </c>
      <c r="H20" s="26" t="s">
        <v>82</v>
      </c>
      <c r="I20" s="27" t="s">
        <v>207</v>
      </c>
    </row>
    <row r="21" spans="7:9" ht="14.25" customHeight="1" x14ac:dyDescent="0.35">
      <c r="G21" s="28" t="s">
        <v>83</v>
      </c>
      <c r="H21" s="29" t="s">
        <v>84</v>
      </c>
      <c r="I21" s="30" t="s">
        <v>207</v>
      </c>
    </row>
    <row r="22" spans="7:9" ht="14.25" customHeight="1" x14ac:dyDescent="0.35">
      <c r="I22" s="31"/>
    </row>
    <row r="23" spans="7:9" ht="14.25" customHeight="1" x14ac:dyDescent="0.35">
      <c r="H23" s="25" t="s">
        <v>85</v>
      </c>
      <c r="I23" s="60">
        <f>I17/12</f>
        <v>854.67809166666655</v>
      </c>
    </row>
    <row r="24" spans="7:9" ht="14.25" customHeight="1" x14ac:dyDescent="0.35"/>
    <row r="25" spans="7:9" ht="14.25" customHeight="1" x14ac:dyDescent="0.35"/>
    <row r="26" spans="7:9" ht="14.25" customHeight="1" x14ac:dyDescent="0.35"/>
    <row r="27" spans="7:9" ht="14.25" customHeight="1" x14ac:dyDescent="0.35"/>
    <row r="28" spans="7:9" ht="14.25" customHeight="1" x14ac:dyDescent="0.35"/>
    <row r="29" spans="7:9" ht="14.25" customHeight="1" x14ac:dyDescent="0.35"/>
    <row r="30" spans="7:9" ht="14.25" customHeight="1" x14ac:dyDescent="0.35"/>
    <row r="31" spans="7:9" ht="14.25" customHeight="1" x14ac:dyDescent="0.35"/>
    <row r="32" spans="7:9" ht="14.25" customHeight="1" x14ac:dyDescent="0.35"/>
    <row r="33" spans="1:5" ht="14.25" customHeight="1" x14ac:dyDescent="0.35"/>
    <row r="34" spans="1:5" ht="14.25" customHeight="1" x14ac:dyDescent="0.35"/>
    <row r="35" spans="1:5" ht="14.25" customHeight="1" x14ac:dyDescent="0.35">
      <c r="A35" s="1" t="s">
        <v>86</v>
      </c>
      <c r="B35" s="3">
        <v>6500</v>
      </c>
    </row>
    <row r="36" spans="1:5" ht="14.25" customHeight="1" x14ac:dyDescent="0.35">
      <c r="A36" s="1" t="s">
        <v>87</v>
      </c>
      <c r="B36" s="32">
        <v>4.2279999999999998E-2</v>
      </c>
      <c r="C36" s="61" t="s">
        <v>206</v>
      </c>
    </row>
    <row r="37" spans="1:5" ht="14.25" customHeight="1" x14ac:dyDescent="0.35">
      <c r="A37" s="1" t="s">
        <v>88</v>
      </c>
      <c r="B37" s="10">
        <f>B35*B36</f>
        <v>274.82</v>
      </c>
    </row>
    <row r="38" spans="1:5" ht="14.25" customHeight="1" x14ac:dyDescent="0.35"/>
    <row r="39" spans="1:5" ht="14.25" customHeight="1" x14ac:dyDescent="0.35"/>
    <row r="40" spans="1:5" ht="14.25" customHeight="1" x14ac:dyDescent="0.35">
      <c r="A40" s="18" t="s">
        <v>89</v>
      </c>
      <c r="B40" s="18"/>
      <c r="C40" s="18"/>
      <c r="D40" s="18"/>
      <c r="E40" s="18"/>
    </row>
    <row r="41" spans="1:5" ht="14.25" customHeight="1" x14ac:dyDescent="0.35"/>
    <row r="42" spans="1:5" ht="14.25" customHeight="1" x14ac:dyDescent="0.35"/>
    <row r="43" spans="1:5" ht="14.25" customHeight="1" x14ac:dyDescent="0.35"/>
    <row r="44" spans="1:5" ht="14.25" customHeight="1" x14ac:dyDescent="0.35"/>
    <row r="45" spans="1:5" ht="14.25" customHeight="1" x14ac:dyDescent="0.35"/>
    <row r="46" spans="1:5" ht="14.25" customHeight="1" x14ac:dyDescent="0.35"/>
    <row r="47" spans="1:5" ht="14.25" customHeight="1" x14ac:dyDescent="0.35"/>
    <row r="48" spans="1:5"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000"/>
  <sheetViews>
    <sheetView topLeftCell="D1" workbookViewId="0">
      <selection activeCell="K16" sqref="K16"/>
    </sheetView>
  </sheetViews>
  <sheetFormatPr defaultColWidth="14.453125" defaultRowHeight="15" customHeight="1" x14ac:dyDescent="0.35"/>
  <cols>
    <col min="1" max="2" width="8.6328125" customWidth="1"/>
    <col min="3" max="3" width="12" customWidth="1"/>
    <col min="4" max="4" width="5.453125" customWidth="1"/>
    <col min="5" max="5" width="13.81640625" customWidth="1"/>
    <col min="6" max="6" width="11.453125" customWidth="1"/>
    <col min="7" max="8" width="8.6328125" customWidth="1"/>
    <col min="9" max="9" width="37.6328125" customWidth="1"/>
    <col min="10" max="10" width="38.453125" customWidth="1"/>
    <col min="11" max="11" width="21.453125" customWidth="1"/>
    <col min="12" max="26" width="8.6328125" customWidth="1"/>
  </cols>
  <sheetData>
    <row r="1" spans="9:11" ht="14.25" customHeight="1" x14ac:dyDescent="0.35"/>
    <row r="2" spans="9:11" ht="14.25" customHeight="1" x14ac:dyDescent="0.35">
      <c r="I2" s="33" t="s">
        <v>40</v>
      </c>
    </row>
    <row r="3" spans="9:11" ht="14.25" customHeight="1" x14ac:dyDescent="0.35">
      <c r="I3" s="1" t="s">
        <v>90</v>
      </c>
      <c r="J3" s="2" t="s">
        <v>203</v>
      </c>
    </row>
    <row r="4" spans="9:11" ht="14.25" customHeight="1" x14ac:dyDescent="0.35">
      <c r="I4" s="1" t="s">
        <v>91</v>
      </c>
      <c r="J4" s="2" t="s">
        <v>208</v>
      </c>
    </row>
    <row r="5" spans="9:11" ht="14.25" customHeight="1" x14ac:dyDescent="0.35"/>
    <row r="6" spans="9:11" ht="14.25" customHeight="1" x14ac:dyDescent="0.35">
      <c r="I6" s="33" t="s">
        <v>92</v>
      </c>
    </row>
    <row r="7" spans="9:11" ht="14.25" customHeight="1" x14ac:dyDescent="0.35"/>
    <row r="8" spans="9:11" ht="14.25" customHeight="1" x14ac:dyDescent="0.35">
      <c r="I8" s="1" t="s">
        <v>93</v>
      </c>
      <c r="J8" s="3">
        <f>'6. Federal Taxes'!H7</f>
        <v>79493.804999999993</v>
      </c>
    </row>
    <row r="9" spans="9:11" ht="14.25" customHeight="1" x14ac:dyDescent="0.35">
      <c r="I9" s="1" t="s">
        <v>94</v>
      </c>
      <c r="J9" s="3">
        <v>2100</v>
      </c>
    </row>
    <row r="10" spans="9:11" ht="14.25" customHeight="1" x14ac:dyDescent="0.35">
      <c r="I10" s="1" t="s">
        <v>95</v>
      </c>
      <c r="J10" s="10">
        <f>J8-J9</f>
        <v>77393.804999999993</v>
      </c>
    </row>
    <row r="11" spans="9:11" ht="14.25" customHeight="1" x14ac:dyDescent="0.35"/>
    <row r="12" spans="9:11" ht="21.75" customHeight="1" x14ac:dyDescent="0.35"/>
    <row r="13" spans="9:11" ht="14.25" customHeight="1" x14ac:dyDescent="0.35">
      <c r="I13" s="34" t="s">
        <v>96</v>
      </c>
      <c r="J13" s="34" t="s">
        <v>97</v>
      </c>
      <c r="K13" s="63">
        <f>J10</f>
        <v>77393.804999999993</v>
      </c>
    </row>
    <row r="14" spans="9:11" ht="18.75" customHeight="1" x14ac:dyDescent="0.35">
      <c r="I14" s="26" t="s">
        <v>98</v>
      </c>
      <c r="J14" s="35">
        <v>0</v>
      </c>
      <c r="K14" s="36" t="s">
        <v>207</v>
      </c>
    </row>
    <row r="15" spans="9:11" ht="18.75" customHeight="1" x14ac:dyDescent="0.35">
      <c r="I15" s="26" t="s">
        <v>99</v>
      </c>
      <c r="J15" s="26" t="s">
        <v>100</v>
      </c>
      <c r="K15" s="64">
        <f>360.59+0.0275*(J10-26050)</f>
        <v>1772.5446374999997</v>
      </c>
    </row>
    <row r="16" spans="9:11" ht="14.25" customHeight="1" x14ac:dyDescent="0.35">
      <c r="I16" s="26" t="s">
        <v>101</v>
      </c>
      <c r="J16" s="26" t="s">
        <v>102</v>
      </c>
      <c r="K16" s="36" t="s">
        <v>207</v>
      </c>
    </row>
    <row r="17" spans="1:11" ht="14.25" customHeight="1" x14ac:dyDescent="0.35">
      <c r="I17" s="1" t="s">
        <v>103</v>
      </c>
      <c r="J17" s="1" t="s">
        <v>104</v>
      </c>
      <c r="K17" s="4" t="s">
        <v>207</v>
      </c>
    </row>
    <row r="18" spans="1:11" ht="14.25" customHeight="1" x14ac:dyDescent="0.35"/>
    <row r="19" spans="1:11" ht="14.25" customHeight="1" x14ac:dyDescent="0.35">
      <c r="J19" s="1" t="s">
        <v>105</v>
      </c>
      <c r="K19" s="1">
        <v>12</v>
      </c>
    </row>
    <row r="20" spans="1:11" ht="14.25" customHeight="1" x14ac:dyDescent="0.35">
      <c r="J20" s="1" t="s">
        <v>106</v>
      </c>
      <c r="K20" s="4">
        <f>K15/12</f>
        <v>147.71205312499998</v>
      </c>
    </row>
    <row r="21" spans="1:11" ht="14.25" customHeight="1" x14ac:dyDescent="0.35"/>
    <row r="22" spans="1:11" ht="14.25" customHeight="1" x14ac:dyDescent="0.35">
      <c r="I22" s="37" t="s">
        <v>107</v>
      </c>
    </row>
    <row r="23" spans="1:11" ht="14.25" customHeight="1" x14ac:dyDescent="0.35"/>
    <row r="24" spans="1:11" ht="14.25" customHeight="1" x14ac:dyDescent="0.35">
      <c r="I24" s="1" t="s">
        <v>108</v>
      </c>
      <c r="J24" s="3"/>
    </row>
    <row r="25" spans="1:11" ht="14.25" customHeight="1" x14ac:dyDescent="0.35">
      <c r="I25" s="1" t="s">
        <v>109</v>
      </c>
      <c r="J25" s="3"/>
    </row>
    <row r="26" spans="1:11" ht="14.25" customHeight="1" x14ac:dyDescent="0.35">
      <c r="I26" s="1" t="s">
        <v>110</v>
      </c>
      <c r="J26" s="3"/>
    </row>
    <row r="27" spans="1:11" ht="14.25" customHeight="1" x14ac:dyDescent="0.35">
      <c r="I27" s="1" t="s">
        <v>111</v>
      </c>
      <c r="J27" s="10"/>
    </row>
    <row r="28" spans="1:11" ht="14.25" customHeight="1" x14ac:dyDescent="0.35"/>
    <row r="29" spans="1:11" ht="14.25" customHeight="1" x14ac:dyDescent="0.35">
      <c r="I29" s="1" t="s">
        <v>112</v>
      </c>
      <c r="J29" s="2"/>
    </row>
    <row r="30" spans="1:11" ht="14.25" customHeight="1" x14ac:dyDescent="0.35">
      <c r="I30" s="1" t="s">
        <v>105</v>
      </c>
      <c r="J30" s="1">
        <v>12</v>
      </c>
    </row>
    <row r="31" spans="1:11" ht="14.25" customHeight="1" x14ac:dyDescent="0.35">
      <c r="A31" s="5"/>
      <c r="I31" s="1" t="s">
        <v>113</v>
      </c>
      <c r="J31" s="4"/>
    </row>
    <row r="32" spans="1:11" ht="14.25" customHeight="1" x14ac:dyDescent="0.35">
      <c r="A32" s="5"/>
    </row>
    <row r="33" spans="1:6" ht="14.25" customHeight="1" x14ac:dyDescent="0.35">
      <c r="A33" s="5"/>
    </row>
    <row r="34" spans="1:6" ht="14.25" customHeight="1" x14ac:dyDescent="0.35">
      <c r="A34" s="5"/>
    </row>
    <row r="35" spans="1:6" ht="14.25" customHeight="1" x14ac:dyDescent="0.35">
      <c r="A35" s="5"/>
    </row>
    <row r="36" spans="1:6" ht="14.25" customHeight="1" x14ac:dyDescent="0.35">
      <c r="A36" s="5" t="s">
        <v>114</v>
      </c>
    </row>
    <row r="37" spans="1:6" ht="14.25" customHeight="1" x14ac:dyDescent="0.35"/>
    <row r="38" spans="1:6" ht="14.25" customHeight="1" x14ac:dyDescent="0.35">
      <c r="A38" s="53" t="s">
        <v>115</v>
      </c>
      <c r="B38" s="54"/>
      <c r="C38" s="55"/>
      <c r="E38" s="38" t="s">
        <v>116</v>
      </c>
      <c r="F38" s="38" t="s">
        <v>117</v>
      </c>
    </row>
    <row r="39" spans="1:6" ht="14.25" customHeight="1" x14ac:dyDescent="0.35"/>
    <row r="40" spans="1:6" ht="14.25" customHeight="1" x14ac:dyDescent="0.35"/>
    <row r="41" spans="1:6" ht="14.25" customHeight="1" x14ac:dyDescent="0.35"/>
    <row r="42" spans="1:6" ht="14.25" customHeight="1" x14ac:dyDescent="0.35"/>
    <row r="43" spans="1:6" ht="14.25" customHeight="1" x14ac:dyDescent="0.35"/>
    <row r="44" spans="1:6" ht="14.25" customHeight="1" x14ac:dyDescent="0.35"/>
    <row r="45" spans="1:6" ht="14.25" customHeight="1" x14ac:dyDescent="0.35"/>
    <row r="46" spans="1:6" ht="14.25" customHeight="1" x14ac:dyDescent="0.35"/>
    <row r="47" spans="1:6" ht="14.25" customHeight="1" x14ac:dyDescent="0.35"/>
    <row r="48" spans="1:6" ht="14.25" customHeight="1" x14ac:dyDescent="0.35"/>
    <row r="49" spans="1:7" ht="14.25" customHeight="1" x14ac:dyDescent="0.35"/>
    <row r="50" spans="1:7" ht="14.25" customHeight="1" x14ac:dyDescent="0.35"/>
    <row r="51" spans="1:7" ht="14.25" customHeight="1" x14ac:dyDescent="0.35"/>
    <row r="52" spans="1:7" ht="14.25" customHeight="1" x14ac:dyDescent="0.35">
      <c r="A52" s="18" t="s">
        <v>118</v>
      </c>
      <c r="B52" s="18"/>
      <c r="C52" s="18"/>
      <c r="D52" s="18"/>
      <c r="E52" s="18"/>
      <c r="F52" s="18"/>
      <c r="G52" s="18"/>
    </row>
    <row r="53" spans="1:7" ht="14.25" customHeight="1" x14ac:dyDescent="0.35"/>
    <row r="54" spans="1:7" ht="14.25" customHeight="1" x14ac:dyDescent="0.35">
      <c r="A54" s="53" t="s">
        <v>115</v>
      </c>
      <c r="B54" s="54"/>
      <c r="C54" s="55"/>
      <c r="E54" s="38" t="s">
        <v>116</v>
      </c>
      <c r="F54" s="38" t="s">
        <v>117</v>
      </c>
    </row>
    <row r="55" spans="1:7" ht="14.25" customHeight="1" x14ac:dyDescent="0.35">
      <c r="A55" s="39">
        <v>0.01</v>
      </c>
      <c r="B55" s="40" t="s">
        <v>119</v>
      </c>
      <c r="C55" s="41">
        <v>0</v>
      </c>
      <c r="E55" s="42">
        <f t="shared" ref="E55:E59" si="0">C56-C55</f>
        <v>8932</v>
      </c>
      <c r="F55" s="42">
        <f t="shared" ref="F55:F60" si="1">E55*A55</f>
        <v>89.320000000000007</v>
      </c>
    </row>
    <row r="56" spans="1:7" ht="14.25" customHeight="1" x14ac:dyDescent="0.35">
      <c r="A56" s="39">
        <v>0.02</v>
      </c>
      <c r="B56" s="40" t="s">
        <v>119</v>
      </c>
      <c r="C56" s="41">
        <v>8932</v>
      </c>
      <c r="E56" s="42">
        <f t="shared" si="0"/>
        <v>12243</v>
      </c>
      <c r="F56" s="42">
        <f t="shared" si="1"/>
        <v>244.86</v>
      </c>
    </row>
    <row r="57" spans="1:7" ht="14.25" customHeight="1" x14ac:dyDescent="0.35">
      <c r="A57" s="39">
        <v>0.04</v>
      </c>
      <c r="B57" s="40" t="s">
        <v>119</v>
      </c>
      <c r="C57" s="41">
        <v>21175</v>
      </c>
      <c r="E57" s="42">
        <f t="shared" si="0"/>
        <v>12246</v>
      </c>
      <c r="F57" s="42">
        <f t="shared" si="1"/>
        <v>489.84000000000003</v>
      </c>
    </row>
    <row r="58" spans="1:7" ht="14.25" customHeight="1" x14ac:dyDescent="0.35">
      <c r="A58" s="39">
        <v>0.06</v>
      </c>
      <c r="B58" s="40" t="s">
        <v>119</v>
      </c>
      <c r="C58" s="41">
        <v>33421</v>
      </c>
      <c r="E58" s="42">
        <f t="shared" si="0"/>
        <v>12973</v>
      </c>
      <c r="F58" s="42">
        <f t="shared" si="1"/>
        <v>778.38</v>
      </c>
    </row>
    <row r="59" spans="1:7" ht="14.25" customHeight="1" x14ac:dyDescent="0.35">
      <c r="A59" s="39">
        <v>0.08</v>
      </c>
      <c r="B59" s="40" t="s">
        <v>119</v>
      </c>
      <c r="C59" s="41">
        <v>46394</v>
      </c>
      <c r="E59" s="42">
        <f t="shared" si="0"/>
        <v>12240</v>
      </c>
      <c r="F59" s="42">
        <f t="shared" si="1"/>
        <v>979.2</v>
      </c>
    </row>
    <row r="60" spans="1:7" ht="14.25" customHeight="1" x14ac:dyDescent="0.35">
      <c r="A60" s="39">
        <v>9.2999999999999999E-2</v>
      </c>
      <c r="B60" s="40" t="s">
        <v>119</v>
      </c>
      <c r="C60" s="41">
        <v>58634</v>
      </c>
      <c r="E60" s="43">
        <f>60000-(E55+E56+E57+E58+E59)</f>
        <v>1366</v>
      </c>
      <c r="F60" s="43">
        <f t="shared" si="1"/>
        <v>127.038</v>
      </c>
    </row>
    <row r="61" spans="1:7" ht="14.25" customHeight="1" x14ac:dyDescent="0.35">
      <c r="A61" s="39">
        <v>0.10299999999999999</v>
      </c>
      <c r="B61" s="40" t="s">
        <v>119</v>
      </c>
      <c r="C61" s="41">
        <v>299508</v>
      </c>
      <c r="E61" s="44">
        <f t="shared" ref="E61:F61" si="2">SUM(E55:E60)</f>
        <v>60000</v>
      </c>
      <c r="F61" s="44">
        <f t="shared" si="2"/>
        <v>2708.6380000000004</v>
      </c>
    </row>
    <row r="62" spans="1:7" ht="14.25" customHeight="1" x14ac:dyDescent="0.35">
      <c r="A62" s="39">
        <v>0.113</v>
      </c>
      <c r="B62" s="40" t="s">
        <v>119</v>
      </c>
      <c r="C62" s="41">
        <v>359407</v>
      </c>
    </row>
    <row r="63" spans="1:7" ht="14.25" customHeight="1" x14ac:dyDescent="0.35">
      <c r="A63" s="39">
        <v>0.123</v>
      </c>
      <c r="B63" s="40" t="s">
        <v>119</v>
      </c>
      <c r="C63" s="41">
        <v>599012</v>
      </c>
    </row>
    <row r="64" spans="1:7" ht="14.25" customHeight="1" x14ac:dyDescent="0.35">
      <c r="A64" s="45">
        <v>0.13300000000000001</v>
      </c>
      <c r="B64" s="40" t="s">
        <v>119</v>
      </c>
      <c r="C64" s="41">
        <v>1000000</v>
      </c>
    </row>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2">
    <mergeCell ref="A38:C38"/>
    <mergeCell ref="A54:C54"/>
  </mergeCells>
  <hyperlinks>
    <hyperlink ref="A36" r:id="rId1" xr:uid="{00000000-0004-0000-0600-000000000000}"/>
  </hyperlinks>
  <pageMargins left="0.7" right="0.7" top="0.75" bottom="0.75" header="0" footer="0"/>
  <pageSetup orientation="portrait"/>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1000"/>
  <sheetViews>
    <sheetView topLeftCell="E1" workbookViewId="0">
      <selection activeCell="O6" sqref="O6"/>
    </sheetView>
  </sheetViews>
  <sheetFormatPr defaultColWidth="14.453125" defaultRowHeight="15" customHeight="1" x14ac:dyDescent="0.35"/>
  <cols>
    <col min="1" max="13" width="8.6328125" customWidth="1"/>
    <col min="14" max="14" width="28.81640625" customWidth="1"/>
    <col min="15" max="15" width="15" customWidth="1"/>
    <col min="16" max="26" width="8.6328125" customWidth="1"/>
  </cols>
  <sheetData>
    <row r="1" spans="14:15" ht="14.25" customHeight="1" x14ac:dyDescent="0.35"/>
    <row r="2" spans="14:15" ht="14.25" customHeight="1" x14ac:dyDescent="0.35"/>
    <row r="3" spans="14:15" ht="14.25" customHeight="1" x14ac:dyDescent="0.35">
      <c r="N3" s="1" t="s">
        <v>120</v>
      </c>
      <c r="O3" s="2" t="s">
        <v>209</v>
      </c>
    </row>
    <row r="4" spans="14:15" ht="14.25" customHeight="1" x14ac:dyDescent="0.35">
      <c r="N4" s="1" t="s">
        <v>121</v>
      </c>
      <c r="O4" s="2" t="s">
        <v>210</v>
      </c>
    </row>
    <row r="5" spans="14:15" ht="14.25" customHeight="1" x14ac:dyDescent="0.35">
      <c r="N5" s="1" t="s">
        <v>122</v>
      </c>
      <c r="O5" s="2">
        <v>1368</v>
      </c>
    </row>
    <row r="6" spans="14:15" ht="14.25" customHeight="1" x14ac:dyDescent="0.35">
      <c r="N6" s="1" t="s">
        <v>7</v>
      </c>
      <c r="O6" s="1">
        <v>12</v>
      </c>
    </row>
    <row r="7" spans="14:15" ht="14.25" customHeight="1" x14ac:dyDescent="0.35">
      <c r="N7" s="1" t="s">
        <v>123</v>
      </c>
      <c r="O7" s="4">
        <f>O5/O6</f>
        <v>114</v>
      </c>
    </row>
    <row r="8" spans="14:15" ht="14.25" customHeight="1" x14ac:dyDescent="0.35">
      <c r="N8" s="46" t="s">
        <v>34</v>
      </c>
      <c r="O8" s="1"/>
    </row>
    <row r="9" spans="14:15" ht="14.25" customHeight="1" x14ac:dyDescent="0.35">
      <c r="N9" s="1" t="s">
        <v>124</v>
      </c>
      <c r="O9" s="2" t="s">
        <v>205</v>
      </c>
    </row>
    <row r="10" spans="14:15" ht="14.25" customHeight="1" x14ac:dyDescent="0.35"/>
    <row r="11" spans="14:15" ht="14.25" customHeight="1" x14ac:dyDescent="0.35"/>
    <row r="12" spans="14:15" ht="14.25" customHeight="1" x14ac:dyDescent="0.35"/>
    <row r="13" spans="14:15" ht="14.25" customHeight="1" x14ac:dyDescent="0.35"/>
    <row r="14" spans="14:15" ht="14.25" customHeight="1" x14ac:dyDescent="0.35"/>
    <row r="15" spans="14:15" ht="14.25" customHeight="1" x14ac:dyDescent="0.35"/>
    <row r="16" spans="14:15" ht="14.25" customHeight="1" x14ac:dyDescent="0.35"/>
    <row r="17" spans="1:1" ht="14.25" customHeight="1" x14ac:dyDescent="0.35"/>
    <row r="18" spans="1:1" ht="14.25" customHeight="1" x14ac:dyDescent="0.35"/>
    <row r="19" spans="1:1" ht="14.25" customHeight="1" x14ac:dyDescent="0.35"/>
    <row r="20" spans="1:1" ht="14.25" customHeight="1" x14ac:dyDescent="0.35"/>
    <row r="21" spans="1:1" ht="14.25" customHeight="1" x14ac:dyDescent="0.35"/>
    <row r="22" spans="1:1" ht="14.25" customHeight="1" x14ac:dyDescent="0.35"/>
    <row r="23" spans="1:1" ht="14.25" customHeight="1" x14ac:dyDescent="0.35"/>
    <row r="24" spans="1:1" ht="20.25" customHeight="1" x14ac:dyDescent="0.35"/>
    <row r="25" spans="1:1" ht="14.25" customHeight="1" x14ac:dyDescent="0.35"/>
    <row r="26" spans="1:1" ht="14.25" customHeight="1" x14ac:dyDescent="0.35"/>
    <row r="27" spans="1:1" ht="14.25" customHeight="1" x14ac:dyDescent="0.35"/>
    <row r="28" spans="1:1" ht="14.25" customHeight="1" x14ac:dyDescent="0.35"/>
    <row r="29" spans="1:1" ht="14.25" customHeight="1" x14ac:dyDescent="0.35"/>
    <row r="30" spans="1:1" ht="14.25" customHeight="1" x14ac:dyDescent="0.35">
      <c r="A30" s="18" t="s">
        <v>125</v>
      </c>
    </row>
    <row r="31" spans="1:1" ht="14.25" customHeight="1" x14ac:dyDescent="0.35"/>
    <row r="32" spans="1:1" ht="14.25" customHeight="1" x14ac:dyDescent="0.35">
      <c r="A32" s="5" t="s">
        <v>126</v>
      </c>
    </row>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hyperlinks>
    <hyperlink ref="A32" r:id="rId1" xr:uid="{00000000-0004-0000-0700-000000000000}"/>
  </hyperlinks>
  <pageMargins left="0.7" right="0.7" top="0.75" bottom="0.75" header="0" footer="0"/>
  <pageSetup orientation="landscape"/>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000"/>
  <sheetViews>
    <sheetView tabSelected="1" workbookViewId="0">
      <selection activeCell="D25" sqref="D25"/>
    </sheetView>
  </sheetViews>
  <sheetFormatPr defaultColWidth="14.453125" defaultRowHeight="15" customHeight="1" x14ac:dyDescent="0.35"/>
  <cols>
    <col min="1" max="1" width="50.453125" customWidth="1"/>
    <col min="2" max="26" width="8.6328125" customWidth="1"/>
  </cols>
  <sheetData>
    <row r="1" spans="1:2" ht="14.25" customHeight="1" x14ac:dyDescent="0.35">
      <c r="A1" s="18" t="s">
        <v>127</v>
      </c>
    </row>
    <row r="2" spans="1:2" ht="14.25" customHeight="1" x14ac:dyDescent="0.35">
      <c r="A2" s="18"/>
      <c r="B2" s="18" t="s">
        <v>128</v>
      </c>
    </row>
    <row r="3" spans="1:2" ht="14.25" customHeight="1" x14ac:dyDescent="0.35">
      <c r="A3" s="18" t="s">
        <v>129</v>
      </c>
      <c r="B3" s="65"/>
    </row>
    <row r="4" spans="1:2" ht="14.25" customHeight="1" x14ac:dyDescent="0.35">
      <c r="A4" s="48" t="s">
        <v>130</v>
      </c>
      <c r="B4" s="65">
        <f>'2. Income'!M13</f>
        <v>7025.583333333333</v>
      </c>
    </row>
    <row r="5" spans="1:2" ht="14.25" customHeight="1" x14ac:dyDescent="0.35">
      <c r="A5" s="48" t="s">
        <v>131</v>
      </c>
      <c r="B5" s="47">
        <v>0</v>
      </c>
    </row>
    <row r="6" spans="1:2" ht="14.25" customHeight="1" x14ac:dyDescent="0.35">
      <c r="A6" s="48" t="s">
        <v>132</v>
      </c>
      <c r="B6" s="49">
        <v>0</v>
      </c>
    </row>
    <row r="7" spans="1:2" ht="14.25" customHeight="1" x14ac:dyDescent="0.35">
      <c r="A7" s="48" t="s">
        <v>133</v>
      </c>
      <c r="B7" s="31">
        <f>SUM(B3:B6)</f>
        <v>7025.583333333333</v>
      </c>
    </row>
    <row r="8" spans="1:2" ht="14.25" customHeight="1" x14ac:dyDescent="0.35"/>
    <row r="9" spans="1:2" ht="14.25" customHeight="1" x14ac:dyDescent="0.35">
      <c r="A9" s="18" t="s">
        <v>134</v>
      </c>
    </row>
    <row r="10" spans="1:2" ht="14.25" customHeight="1" x14ac:dyDescent="0.35">
      <c r="A10" s="48" t="s">
        <v>135</v>
      </c>
      <c r="B10" s="12">
        <f>'5. Retirement contributions'!N19</f>
        <v>128.19791666666666</v>
      </c>
    </row>
    <row r="11" spans="1:2" ht="14.25" customHeight="1" x14ac:dyDescent="0.35">
      <c r="A11" s="48" t="s">
        <v>136</v>
      </c>
      <c r="B11" s="12">
        <f>'5. Retirement contributions'!N20</f>
        <v>166.66666666666666</v>
      </c>
    </row>
    <row r="12" spans="1:2" ht="14.25" customHeight="1" x14ac:dyDescent="0.35">
      <c r="A12" s="48" t="s">
        <v>137</v>
      </c>
      <c r="B12" s="12">
        <f>'5. Retirement contributions'!N21</f>
        <v>250</v>
      </c>
    </row>
    <row r="13" spans="1:2" ht="14.25" customHeight="1" x14ac:dyDescent="0.35">
      <c r="A13" s="48" t="s">
        <v>138</v>
      </c>
      <c r="B13" s="12">
        <f>'5. Retirement contributions'!N22</f>
        <v>333.33333333333331</v>
      </c>
    </row>
    <row r="14" spans="1:2" ht="14.25" customHeight="1" x14ac:dyDescent="0.35">
      <c r="A14" s="48" t="s">
        <v>139</v>
      </c>
      <c r="B14" s="31">
        <f>SUM(B10:B13)</f>
        <v>878.19791666666652</v>
      </c>
    </row>
    <row r="15" spans="1:2" ht="14.25" customHeight="1" x14ac:dyDescent="0.35"/>
    <row r="16" spans="1:2" ht="14.25" customHeight="1" x14ac:dyDescent="0.35">
      <c r="A16" s="18" t="s">
        <v>140</v>
      </c>
    </row>
    <row r="17" spans="1:3" ht="14.25" customHeight="1" x14ac:dyDescent="0.35">
      <c r="A17" s="48" t="s">
        <v>141</v>
      </c>
      <c r="B17" s="47">
        <v>0</v>
      </c>
      <c r="C17" s="61" t="s">
        <v>211</v>
      </c>
    </row>
    <row r="18" spans="1:3" ht="14.25" customHeight="1" x14ac:dyDescent="0.35"/>
    <row r="19" spans="1:3" ht="14.25" customHeight="1" x14ac:dyDescent="0.35">
      <c r="A19" s="18" t="s">
        <v>142</v>
      </c>
    </row>
    <row r="20" spans="1:3" ht="14.25" customHeight="1" x14ac:dyDescent="0.35">
      <c r="A20" s="48" t="s">
        <v>143</v>
      </c>
      <c r="B20" s="47">
        <f>'3. FICA tax'!M30</f>
        <v>537.45712500000002</v>
      </c>
    </row>
    <row r="21" spans="1:3" ht="14.25" customHeight="1" x14ac:dyDescent="0.35">
      <c r="A21" s="48" t="s">
        <v>144</v>
      </c>
      <c r="B21" s="65">
        <f>'4. Local income tax'!G11</f>
        <v>175.63958333333335</v>
      </c>
    </row>
    <row r="22" spans="1:3" ht="14.25" customHeight="1" x14ac:dyDescent="0.35">
      <c r="A22" s="48" t="s">
        <v>145</v>
      </c>
      <c r="B22" s="47">
        <f>'7. State taxes'!K20</f>
        <v>147.71205312499998</v>
      </c>
    </row>
    <row r="23" spans="1:3" ht="14.25" customHeight="1" x14ac:dyDescent="0.35">
      <c r="A23" s="48" t="s">
        <v>146</v>
      </c>
      <c r="B23" s="66">
        <f>'6. Federal Taxes'!I23</f>
        <v>854.67809166666655</v>
      </c>
    </row>
    <row r="24" spans="1:3" ht="14.25" customHeight="1" x14ac:dyDescent="0.35">
      <c r="A24" s="48" t="s">
        <v>147</v>
      </c>
      <c r="B24" s="31">
        <f>SUM(B20:B23)</f>
        <v>1715.4868531249999</v>
      </c>
    </row>
    <row r="25" spans="1:3" ht="14.25" customHeight="1" x14ac:dyDescent="0.35"/>
    <row r="26" spans="1:3" ht="14.25" customHeight="1" x14ac:dyDescent="0.35">
      <c r="A26" s="18" t="s">
        <v>148</v>
      </c>
    </row>
    <row r="27" spans="1:3" ht="14.25" customHeight="1" x14ac:dyDescent="0.35">
      <c r="A27" s="48" t="s">
        <v>149</v>
      </c>
      <c r="B27" s="48">
        <f>B7</f>
        <v>7025.583333333333</v>
      </c>
    </row>
    <row r="28" spans="1:3" ht="14.25" customHeight="1" x14ac:dyDescent="0.35">
      <c r="A28" s="48" t="s">
        <v>150</v>
      </c>
      <c r="B28" s="48">
        <f>B7-B24</f>
        <v>5310.0964802083327</v>
      </c>
    </row>
    <row r="29" spans="1:3" ht="14.25" customHeight="1" x14ac:dyDescent="0.35">
      <c r="A29" s="48" t="s">
        <v>151</v>
      </c>
      <c r="B29" s="48">
        <f>B7-B14-B17-B24</f>
        <v>4431.8985635416666</v>
      </c>
    </row>
    <row r="30" spans="1:3" ht="14.25" customHeight="1" x14ac:dyDescent="0.35"/>
    <row r="31" spans="1:3" ht="14.25" customHeight="1" x14ac:dyDescent="0.35"/>
    <row r="32" spans="1:3"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0"/>
  <sheetViews>
    <sheetView workbookViewId="0"/>
  </sheetViews>
  <sheetFormatPr defaultColWidth="14.453125" defaultRowHeight="15" customHeight="1" x14ac:dyDescent="0.35"/>
  <cols>
    <col min="1" max="1" width="46.81640625" customWidth="1"/>
    <col min="2" max="26" width="8.6328125" customWidth="1"/>
  </cols>
  <sheetData>
    <row r="1" spans="1:2" ht="14.25" customHeight="1" x14ac:dyDescent="0.35">
      <c r="A1" s="33" t="s">
        <v>152</v>
      </c>
      <c r="B1" s="33" t="s">
        <v>153</v>
      </c>
    </row>
    <row r="2" spans="1:2" ht="14.25" customHeight="1" x14ac:dyDescent="0.35">
      <c r="A2" s="50" t="s">
        <v>154</v>
      </c>
      <c r="B2" s="48">
        <v>10</v>
      </c>
    </row>
    <row r="3" spans="1:2" ht="14.25" customHeight="1" x14ac:dyDescent="0.35">
      <c r="A3" s="51" t="s">
        <v>155</v>
      </c>
    </row>
    <row r="4" spans="1:2" ht="14.25" customHeight="1" x14ac:dyDescent="0.35">
      <c r="A4" s="51" t="s">
        <v>156</v>
      </c>
    </row>
    <row r="5" spans="1:2" ht="14.25" customHeight="1" x14ac:dyDescent="0.35">
      <c r="A5" s="51" t="s">
        <v>157</v>
      </c>
    </row>
    <row r="6" spans="1:2" ht="14.25" customHeight="1" x14ac:dyDescent="0.35">
      <c r="A6" s="51" t="s">
        <v>158</v>
      </c>
    </row>
    <row r="7" spans="1:2" ht="14.25" customHeight="1" x14ac:dyDescent="0.35">
      <c r="A7" s="50" t="s">
        <v>159</v>
      </c>
      <c r="B7" s="48">
        <v>5</v>
      </c>
    </row>
    <row r="8" spans="1:2" ht="14.25" customHeight="1" x14ac:dyDescent="0.35">
      <c r="A8" s="51" t="s">
        <v>160</v>
      </c>
    </row>
    <row r="9" spans="1:2" ht="14.25" customHeight="1" x14ac:dyDescent="0.35">
      <c r="A9" s="51" t="s">
        <v>161</v>
      </c>
    </row>
    <row r="10" spans="1:2" ht="14.25" customHeight="1" x14ac:dyDescent="0.35">
      <c r="A10" s="51" t="s">
        <v>162</v>
      </c>
    </row>
    <row r="11" spans="1:2" ht="14.25" customHeight="1" x14ac:dyDescent="0.35">
      <c r="A11" s="51" t="s">
        <v>163</v>
      </c>
    </row>
    <row r="12" spans="1:2" ht="14.25" customHeight="1" x14ac:dyDescent="0.35">
      <c r="A12" s="51" t="s">
        <v>164</v>
      </c>
    </row>
    <row r="13" spans="1:2" ht="14.25" customHeight="1" x14ac:dyDescent="0.35">
      <c r="A13" s="51" t="s">
        <v>165</v>
      </c>
    </row>
    <row r="14" spans="1:2" ht="14.25" customHeight="1" x14ac:dyDescent="0.35">
      <c r="A14" s="51" t="s">
        <v>166</v>
      </c>
    </row>
    <row r="15" spans="1:2" ht="14.25" customHeight="1" x14ac:dyDescent="0.35">
      <c r="A15" s="50" t="s">
        <v>167</v>
      </c>
      <c r="B15" s="48">
        <v>5</v>
      </c>
    </row>
    <row r="16" spans="1:2" ht="14.25" customHeight="1" x14ac:dyDescent="0.35">
      <c r="A16" s="51" t="s">
        <v>168</v>
      </c>
    </row>
    <row r="17" spans="1:2" ht="14.25" customHeight="1" x14ac:dyDescent="0.35">
      <c r="A17" s="51" t="s">
        <v>169</v>
      </c>
    </row>
    <row r="18" spans="1:2" ht="14.25" customHeight="1" x14ac:dyDescent="0.35">
      <c r="A18" s="51" t="s">
        <v>166</v>
      </c>
    </row>
    <row r="19" spans="1:2" ht="14.25" customHeight="1" x14ac:dyDescent="0.35">
      <c r="A19" s="50" t="s">
        <v>170</v>
      </c>
      <c r="B19" s="48">
        <v>5</v>
      </c>
    </row>
    <row r="20" spans="1:2" ht="14.25" customHeight="1" x14ac:dyDescent="0.35">
      <c r="A20" s="51" t="s">
        <v>171</v>
      </c>
    </row>
    <row r="21" spans="1:2" ht="14.25" customHeight="1" x14ac:dyDescent="0.35">
      <c r="A21" s="51" t="s">
        <v>172</v>
      </c>
    </row>
    <row r="22" spans="1:2" ht="14.25" customHeight="1" x14ac:dyDescent="0.35">
      <c r="A22" s="51" t="s">
        <v>166</v>
      </c>
    </row>
    <row r="23" spans="1:2" ht="14.25" customHeight="1" x14ac:dyDescent="0.35">
      <c r="A23" s="50" t="s">
        <v>173</v>
      </c>
      <c r="B23" s="48">
        <v>10</v>
      </c>
    </row>
    <row r="24" spans="1:2" ht="14.25" customHeight="1" x14ac:dyDescent="0.35">
      <c r="A24" s="51" t="s">
        <v>174</v>
      </c>
    </row>
    <row r="25" spans="1:2" ht="14.25" customHeight="1" x14ac:dyDescent="0.35">
      <c r="A25" s="51" t="s">
        <v>175</v>
      </c>
    </row>
    <row r="26" spans="1:2" ht="14.25" customHeight="1" x14ac:dyDescent="0.35">
      <c r="A26" s="51" t="s">
        <v>176</v>
      </c>
    </row>
    <row r="27" spans="1:2" ht="14.25" customHeight="1" x14ac:dyDescent="0.35">
      <c r="A27" s="51" t="s">
        <v>177</v>
      </c>
    </row>
    <row r="28" spans="1:2" ht="14.25" customHeight="1" x14ac:dyDescent="0.35">
      <c r="A28" s="50" t="s">
        <v>178</v>
      </c>
      <c r="B28" s="48">
        <v>15</v>
      </c>
    </row>
    <row r="29" spans="1:2" ht="14.25" customHeight="1" x14ac:dyDescent="0.35">
      <c r="A29" s="51" t="s">
        <v>179</v>
      </c>
    </row>
    <row r="30" spans="1:2" ht="14.25" customHeight="1" x14ac:dyDescent="0.35">
      <c r="A30" s="51" t="s">
        <v>180</v>
      </c>
    </row>
    <row r="31" spans="1:2" ht="14.25" customHeight="1" x14ac:dyDescent="0.35">
      <c r="A31" s="51" t="s">
        <v>181</v>
      </c>
    </row>
    <row r="32" spans="1:2" ht="14.25" customHeight="1" x14ac:dyDescent="0.35">
      <c r="A32" s="51" t="s">
        <v>182</v>
      </c>
    </row>
    <row r="33" spans="1:2" ht="14.25" customHeight="1" x14ac:dyDescent="0.35">
      <c r="A33" s="51" t="s">
        <v>183</v>
      </c>
    </row>
    <row r="34" spans="1:2" ht="14.25" customHeight="1" x14ac:dyDescent="0.35">
      <c r="A34" s="51" t="s">
        <v>184</v>
      </c>
    </row>
    <row r="35" spans="1:2" ht="14.25" customHeight="1" x14ac:dyDescent="0.35">
      <c r="A35" s="51" t="s">
        <v>185</v>
      </c>
    </row>
    <row r="36" spans="1:2" ht="14.25" customHeight="1" x14ac:dyDescent="0.35">
      <c r="A36" s="51" t="s">
        <v>165</v>
      </c>
    </row>
    <row r="37" spans="1:2" ht="14.25" customHeight="1" x14ac:dyDescent="0.35">
      <c r="A37" s="51" t="s">
        <v>166</v>
      </c>
    </row>
    <row r="38" spans="1:2" ht="14.25" customHeight="1" x14ac:dyDescent="0.35">
      <c r="A38" s="50" t="s">
        <v>186</v>
      </c>
      <c r="B38" s="48">
        <v>5</v>
      </c>
    </row>
    <row r="39" spans="1:2" ht="14.25" customHeight="1" x14ac:dyDescent="0.35">
      <c r="A39" s="51" t="s">
        <v>187</v>
      </c>
    </row>
    <row r="40" spans="1:2" ht="14.25" customHeight="1" x14ac:dyDescent="0.35">
      <c r="A40" s="51" t="s">
        <v>188</v>
      </c>
    </row>
    <row r="41" spans="1:2" ht="14.25" customHeight="1" x14ac:dyDescent="0.35">
      <c r="A41" s="51" t="s">
        <v>166</v>
      </c>
    </row>
    <row r="42" spans="1:2" ht="14.25" customHeight="1" x14ac:dyDescent="0.35">
      <c r="A42" s="50" t="s">
        <v>189</v>
      </c>
      <c r="B42" s="48">
        <v>5</v>
      </c>
    </row>
    <row r="43" spans="1:2" ht="14.25" customHeight="1" x14ac:dyDescent="0.35">
      <c r="A43" s="51" t="s">
        <v>190</v>
      </c>
    </row>
    <row r="44" spans="1:2" ht="14.25" customHeight="1" x14ac:dyDescent="0.35">
      <c r="A44" s="51" t="s">
        <v>191</v>
      </c>
    </row>
    <row r="45" spans="1:2" ht="14.25" customHeight="1" x14ac:dyDescent="0.35">
      <c r="A45" s="51" t="s">
        <v>192</v>
      </c>
    </row>
    <row r="46" spans="1:2" ht="14.25" customHeight="1" x14ac:dyDescent="0.35">
      <c r="A46" s="51" t="s">
        <v>193</v>
      </c>
    </row>
    <row r="47" spans="1:2" ht="14.25" customHeight="1" x14ac:dyDescent="0.35">
      <c r="A47" s="50" t="s">
        <v>194</v>
      </c>
    </row>
    <row r="48" spans="1:2" ht="14.25" customHeight="1" x14ac:dyDescent="0.35">
      <c r="A48" s="50" t="s">
        <v>195</v>
      </c>
      <c r="B48" s="48">
        <v>25</v>
      </c>
    </row>
    <row r="49" spans="1:26" ht="14.25" customHeight="1" x14ac:dyDescent="0.35">
      <c r="A49" s="51" t="s">
        <v>196</v>
      </c>
    </row>
    <row r="50" spans="1:26" ht="14.25" customHeight="1" x14ac:dyDescent="0.35">
      <c r="A50" s="51" t="s">
        <v>197</v>
      </c>
    </row>
    <row r="51" spans="1:26" ht="14.25" customHeight="1" x14ac:dyDescent="0.35">
      <c r="A51" s="50" t="s">
        <v>198</v>
      </c>
      <c r="B51" s="48">
        <v>15</v>
      </c>
    </row>
    <row r="52" spans="1:26" ht="14.25" customHeight="1" x14ac:dyDescent="0.35">
      <c r="A52" s="51" t="s">
        <v>199</v>
      </c>
      <c r="C52" s="51"/>
      <c r="D52" s="51"/>
      <c r="E52" s="51"/>
      <c r="F52" s="51"/>
      <c r="G52" s="51"/>
      <c r="H52" s="51"/>
      <c r="I52" s="51"/>
      <c r="J52" s="51"/>
      <c r="K52" s="51"/>
      <c r="L52" s="51"/>
      <c r="M52" s="51"/>
      <c r="N52" s="51"/>
      <c r="O52" s="51"/>
      <c r="P52" s="51"/>
      <c r="Q52" s="51"/>
      <c r="R52" s="51"/>
      <c r="S52" s="51"/>
      <c r="T52" s="51"/>
      <c r="U52" s="51"/>
      <c r="V52" s="51"/>
      <c r="W52" s="51"/>
      <c r="X52" s="51"/>
      <c r="Y52" s="51"/>
      <c r="Z52" s="51"/>
    </row>
    <row r="53" spans="1:26" ht="14.25" customHeight="1" x14ac:dyDescent="0.35">
      <c r="A53" s="51" t="s">
        <v>200</v>
      </c>
      <c r="C53" s="51"/>
      <c r="D53" s="51"/>
      <c r="E53" s="51"/>
      <c r="F53" s="51"/>
      <c r="G53" s="51"/>
      <c r="H53" s="51"/>
      <c r="I53" s="51"/>
      <c r="J53" s="51"/>
      <c r="K53" s="51"/>
      <c r="L53" s="51"/>
      <c r="M53" s="51"/>
      <c r="N53" s="51"/>
      <c r="O53" s="51"/>
      <c r="P53" s="51"/>
      <c r="Q53" s="51"/>
      <c r="R53" s="51"/>
      <c r="S53" s="51"/>
      <c r="T53" s="51"/>
      <c r="U53" s="51"/>
      <c r="V53" s="51"/>
      <c r="W53" s="51"/>
      <c r="X53" s="51"/>
      <c r="Y53" s="51"/>
      <c r="Z53" s="51"/>
    </row>
    <row r="54" spans="1:26" ht="14.25" customHeight="1" x14ac:dyDescent="0.35">
      <c r="B54" s="52">
        <f>SUM(B2:B53)</f>
        <v>100</v>
      </c>
    </row>
    <row r="55" spans="1:26" ht="14.25" customHeight="1" x14ac:dyDescent="0.35"/>
    <row r="56" spans="1:26" ht="14.25" customHeight="1" x14ac:dyDescent="0.35"/>
    <row r="57" spans="1:26" ht="14.25" customHeight="1" x14ac:dyDescent="0.35"/>
    <row r="58" spans="1:26" ht="14.25" customHeight="1" x14ac:dyDescent="0.35"/>
    <row r="59" spans="1:26" ht="14.25" customHeight="1" x14ac:dyDescent="0.35"/>
    <row r="60" spans="1:26" ht="14.25" customHeight="1" x14ac:dyDescent="0.35"/>
    <row r="61" spans="1:26" ht="14.25" customHeight="1" x14ac:dyDescent="0.35"/>
    <row r="62" spans="1:26" ht="14.25" customHeight="1" x14ac:dyDescent="0.35"/>
    <row r="63" spans="1:26" ht="14.25" customHeight="1" x14ac:dyDescent="0.35"/>
    <row r="64" spans="1:26"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1. Directions</vt:lpstr>
      <vt:lpstr>2. Income</vt:lpstr>
      <vt:lpstr>3. FICA tax</vt:lpstr>
      <vt:lpstr>4. Local income tax</vt:lpstr>
      <vt:lpstr>5. Retirement contributions</vt:lpstr>
      <vt:lpstr>6. Federal Taxes</vt:lpstr>
      <vt:lpstr>7. State taxes</vt:lpstr>
      <vt:lpstr>8. Health insurance</vt:lpstr>
      <vt:lpstr>9. Summary </vt:lpstr>
      <vt:lpstr>Grading Rubric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Karen Braun</dc:creator>
  <cp:lastModifiedBy>Trevor Swan</cp:lastModifiedBy>
  <dcterms:created xsi:type="dcterms:W3CDTF">2016-11-23T12:22:46Z</dcterms:created>
  <dcterms:modified xsi:type="dcterms:W3CDTF">2025-04-12T15:27:36Z</dcterms:modified>
</cp:coreProperties>
</file>