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0f4dc847ec8b5479/Documents/CWRU/Spring 2025/MGMT205/Homework/Life Application Tasks/"/>
    </mc:Choice>
  </mc:AlternateContent>
  <xr:revisionPtr revIDLastSave="73" documentId="8_{788F74BE-B19F-417D-93FE-541F57C03AF8}" xr6:coauthVersionLast="47" xr6:coauthVersionMax="47" xr10:uidLastSave="{04682D1B-774C-437F-AE7D-E4C7A6EC6894}"/>
  <bookViews>
    <workbookView xWindow="1950" yWindow="1950" windowWidth="28800" windowHeight="15345" tabRatio="797" firstSheet="1" activeTab="1" xr2:uid="{00000000-000D-0000-FFFF-FFFF00000000}"/>
  </bookViews>
  <sheets>
    <sheet name="INTRODUCTION" sheetId="9" r:id="rId1"/>
    <sheet name="Submission"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5" i="7" l="1"/>
  <c r="C53" i="7"/>
  <c r="C52" i="7"/>
  <c r="C46" i="7"/>
</calcChain>
</file>

<file path=xl/sharedStrings.xml><?xml version="1.0" encoding="utf-8"?>
<sst xmlns="http://schemas.openxmlformats.org/spreadsheetml/2006/main" count="19" uniqueCount="17">
  <si>
    <t>Future Value</t>
  </si>
  <si>
    <t>Out-of-pocket cost</t>
  </si>
  <si>
    <t xml:space="preserve">1.   You invest $6,000 at the end of every year  for 40 years and invest it at 8%.  </t>
  </si>
  <si>
    <t xml:space="preserve">2.   Same as (1) except you don't get around to investing until you are 10 years out of college.   Thus, you  only have a 30 year time horizon to invest, rather than 40.   </t>
  </si>
  <si>
    <t>4.  Same as (3) except you don't get around to investing until 10 years out of college, so you only invest for 30 years.</t>
  </si>
  <si>
    <t xml:space="preserve">1b.   You invest $500 at the end of every month  for 40 years and invest it at 8%.  </t>
  </si>
  <si>
    <t xml:space="preserve">2b.   Same as (1b) except you don't get around to investing until you are 10 years out of college.   Thus, you  only have a 30 year time horizon to invest, rather than 40.   </t>
  </si>
  <si>
    <t>4b.  Same as (3b) except you don't get around to investing until 10 years out of college, so you only invest for 30 years.</t>
  </si>
  <si>
    <t>3.  Same as (1) except you are afraid of the stock market, so you invest in low-risk Aaa corporate bonds at a 3% interest rate for 40 years.</t>
  </si>
  <si>
    <t>3b.  Same as (1b) except you are afraid of the stock market, so you invest in low-risk Aaa corporate bonds at a 3% interest rate for 40 years.</t>
  </si>
  <si>
    <t>What do you notice from the pie chart about interest and deposits?</t>
  </si>
  <si>
    <t xml:space="preserve"> Now we'll try MONTHLY deposits and compounding. Make sure you specify the correct timing on the calculator!</t>
  </si>
  <si>
    <t>First we'll try ANNUAL deposits and compounding.   Make sure you specify the correct timing on the calculator!</t>
  </si>
  <si>
    <t>The contributions grow linearly, but the interest seems to be growing exponentially over time, the interest significantly outweights the contributions in the chart</t>
  </si>
  <si>
    <t>The contributions grow linearly, but the interest seems to be growing exponentially over time. Here, the Total Contributions make up around a quarter of the Pie chart, which is a higher percentage than the first sceanrio.</t>
  </si>
  <si>
    <t>The contributions grow linearly, and the Interest grows expoentially but not as steep as the prior examples. Here, total contributions take up more of the pie chart than the interest contributions.</t>
  </si>
  <si>
    <t>Contributions look the same as above, but the interest is even more reduced. The contributions make up a little under 66% of the ending balance, much lower than all of the other situations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</si>
</sst>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5" formatCode="_(&quot;$&quot;* #,##0_);_(&quot;$&quot;* \(#,##0\);_(&quot;$&quot;* &quot;-&quot;??_);_(@_)"/>
  </numFmts>
  <fonts count="5" x14ac:knownFonts="1">
    <font>
      <sz val="11"/>
      <color theme="1"/>
      <name val="Calibri"/>
      <family val="2"/>
      <scheme val="minor"/>
    </font>
    <font>
      <sz val="11"/>
      <color theme="1"/>
      <name val="Calibri"/>
      <family val="2"/>
      <scheme val="minor"/>
    </font>
    <font>
      <b/>
      <u/>
      <sz val="14"/>
      <color theme="1"/>
      <name val="Calibri"/>
      <family val="2"/>
      <scheme val="minor"/>
    </font>
    <font>
      <sz val="14"/>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44" fontId="3" fillId="3" borderId="1" xfId="1" applyFont="1" applyFill="1" applyBorder="1"/>
    <xf numFmtId="0" fontId="2" fillId="0" borderId="0" xfId="0" applyFont="1" applyAlignment="1">
      <alignment horizontal="center"/>
    </xf>
    <xf numFmtId="0" fontId="3" fillId="4" borderId="1" xfId="0" applyFont="1" applyFill="1" applyBorder="1" applyAlignment="1">
      <alignment wrapText="1"/>
    </xf>
    <xf numFmtId="0" fontId="3" fillId="3" borderId="1" xfId="0" applyFont="1" applyFill="1" applyBorder="1" applyAlignment="1">
      <alignment wrapText="1"/>
    </xf>
    <xf numFmtId="0" fontId="3" fillId="5" borderId="1" xfId="0" applyFont="1" applyFill="1" applyBorder="1" applyAlignment="1">
      <alignment wrapText="1"/>
    </xf>
    <xf numFmtId="0" fontId="3" fillId="2" borderId="1" xfId="0" applyFont="1" applyFill="1" applyBorder="1" applyAlignment="1">
      <alignment wrapText="1"/>
    </xf>
    <xf numFmtId="0" fontId="3" fillId="0" borderId="0" xfId="0" applyFont="1" applyAlignment="1">
      <alignment wrapText="1"/>
    </xf>
    <xf numFmtId="165" fontId="3" fillId="0" borderId="0" xfId="1" applyNumberFormat="1" applyFont="1" applyFill="1" applyBorder="1"/>
    <xf numFmtId="0" fontId="4" fillId="6" borderId="0" xfId="0" applyFont="1" applyFill="1" applyAlignment="1">
      <alignment wrapText="1"/>
    </xf>
    <xf numFmtId="165" fontId="3" fillId="4" borderId="1" xfId="1" applyNumberFormat="1" applyFont="1" applyFill="1" applyBorder="1" applyAlignment="1">
      <alignment wrapText="1"/>
    </xf>
    <xf numFmtId="165" fontId="3" fillId="3" borderId="1" xfId="1" applyNumberFormat="1" applyFont="1" applyFill="1" applyBorder="1" applyAlignment="1">
      <alignment wrapText="1"/>
    </xf>
    <xf numFmtId="44" fontId="3" fillId="5" borderId="1" xfId="1" applyFont="1" applyFill="1" applyBorder="1" applyAlignment="1">
      <alignment wrapText="1"/>
    </xf>
    <xf numFmtId="44" fontId="3" fillId="4" borderId="1" xfId="1" applyFont="1" applyFill="1" applyBorder="1"/>
    <xf numFmtId="44" fontId="3" fillId="2" borderId="1" xfId="1" applyFont="1" applyFill="1" applyBorder="1"/>
    <xf numFmtId="44" fontId="3" fillId="2" borderId="1" xfId="1" applyFont="1" applyFill="1" applyBorder="1" applyAlignment="1">
      <alignment wrapText="1"/>
    </xf>
    <xf numFmtId="44" fontId="3" fillId="5" borderId="1" xfId="1" applyFont="1" applyFill="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241300</xdr:colOff>
      <xdr:row>1</xdr:row>
      <xdr:rowOff>171450</xdr:rowOff>
    </xdr:from>
    <xdr:to>
      <xdr:col>12</xdr:col>
      <xdr:colOff>146050</xdr:colOff>
      <xdr:row>36</xdr:row>
      <xdr:rowOff>76200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41300" y="355600"/>
          <a:ext cx="7219950" cy="63500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baseline="0">
              <a:solidFill>
                <a:schemeClr val="dk1"/>
              </a:solidFill>
              <a:latin typeface="+mn-lt"/>
              <a:ea typeface="+mn-ea"/>
              <a:cs typeface="+mn-cs"/>
            </a:rPr>
            <a:t>Introduction</a:t>
          </a:r>
        </a:p>
        <a:p>
          <a:r>
            <a:rPr lang="en-US" sz="1400" baseline="0">
              <a:solidFill>
                <a:schemeClr val="dk1"/>
              </a:solidFill>
              <a:effectLst/>
              <a:latin typeface="+mn-lt"/>
              <a:ea typeface="+mn-ea"/>
              <a:cs typeface="+mn-cs"/>
            </a:rPr>
            <a:t>Investing and debt are two key areas of personal finance.  They are essentially two sides of the same coin:</a:t>
          </a:r>
        </a:p>
        <a:p>
          <a:r>
            <a:rPr lang="en-US" sz="1400" baseline="0">
              <a:solidFill>
                <a:schemeClr val="dk1"/>
              </a:solidFill>
              <a:effectLst/>
              <a:latin typeface="+mn-lt"/>
              <a:ea typeface="+mn-ea"/>
              <a:cs typeface="+mn-cs"/>
            </a:rPr>
            <a:t>-  When you </a:t>
          </a:r>
          <a:r>
            <a:rPr lang="en-US" sz="1400" b="1" i="0" baseline="0">
              <a:solidFill>
                <a:schemeClr val="dk1"/>
              </a:solidFill>
              <a:effectLst/>
              <a:latin typeface="+mn-lt"/>
              <a:ea typeface="+mn-ea"/>
              <a:cs typeface="+mn-cs"/>
            </a:rPr>
            <a:t>invest</a:t>
          </a:r>
          <a:r>
            <a:rPr lang="en-US" sz="1400" baseline="0">
              <a:solidFill>
                <a:schemeClr val="dk1"/>
              </a:solidFill>
              <a:effectLst/>
              <a:latin typeface="+mn-lt"/>
              <a:ea typeface="+mn-ea"/>
              <a:cs typeface="+mn-cs"/>
            </a:rPr>
            <a:t>, you are being paid to let </a:t>
          </a:r>
          <a:r>
            <a:rPr lang="en-US" sz="1400" i="0" baseline="0">
              <a:solidFill>
                <a:schemeClr val="dk1"/>
              </a:solidFill>
              <a:effectLst/>
              <a:latin typeface="+mn-lt"/>
              <a:ea typeface="+mn-ea"/>
              <a:cs typeface="+mn-cs"/>
            </a:rPr>
            <a:t>others</a:t>
          </a:r>
          <a:r>
            <a:rPr lang="en-US" sz="1400" baseline="0">
              <a:solidFill>
                <a:schemeClr val="dk1"/>
              </a:solidFill>
              <a:effectLst/>
              <a:latin typeface="+mn-lt"/>
              <a:ea typeface="+mn-ea"/>
              <a:cs typeface="+mn-cs"/>
            </a:rPr>
            <a:t> use </a:t>
          </a:r>
          <a:r>
            <a:rPr lang="en-US" sz="1400" i="1" baseline="0">
              <a:solidFill>
                <a:schemeClr val="dk1"/>
              </a:solidFill>
              <a:effectLst/>
              <a:latin typeface="+mn-lt"/>
              <a:ea typeface="+mn-ea"/>
              <a:cs typeface="+mn-cs"/>
            </a:rPr>
            <a:t>your</a:t>
          </a:r>
          <a:r>
            <a:rPr lang="en-US" sz="1400" baseline="0">
              <a:solidFill>
                <a:schemeClr val="dk1"/>
              </a:solidFill>
              <a:effectLst/>
              <a:latin typeface="+mn-lt"/>
              <a:ea typeface="+mn-ea"/>
              <a:cs typeface="+mn-cs"/>
            </a:rPr>
            <a:t> money.  </a:t>
          </a:r>
        </a:p>
        <a:p>
          <a:r>
            <a:rPr lang="en-US" sz="1400" baseline="0">
              <a:solidFill>
                <a:schemeClr val="dk1"/>
              </a:solidFill>
              <a:effectLst/>
              <a:latin typeface="+mn-lt"/>
              <a:ea typeface="+mn-ea"/>
              <a:cs typeface="+mn-cs"/>
            </a:rPr>
            <a:t>-  When you </a:t>
          </a:r>
          <a:r>
            <a:rPr lang="en-US" sz="1400" b="1" baseline="0">
              <a:solidFill>
                <a:schemeClr val="dk1"/>
              </a:solidFill>
              <a:effectLst/>
              <a:latin typeface="+mn-lt"/>
              <a:ea typeface="+mn-ea"/>
              <a:cs typeface="+mn-cs"/>
            </a:rPr>
            <a:t>borrow</a:t>
          </a:r>
          <a:r>
            <a:rPr lang="en-US" sz="1400" baseline="0">
              <a:solidFill>
                <a:schemeClr val="dk1"/>
              </a:solidFill>
              <a:effectLst/>
              <a:latin typeface="+mn-lt"/>
              <a:ea typeface="+mn-ea"/>
              <a:cs typeface="+mn-cs"/>
            </a:rPr>
            <a:t>, you must pay others to use </a:t>
          </a:r>
          <a:r>
            <a:rPr lang="en-US" sz="1400" i="1" baseline="0">
              <a:solidFill>
                <a:schemeClr val="dk1"/>
              </a:solidFill>
              <a:effectLst/>
              <a:latin typeface="+mn-lt"/>
              <a:ea typeface="+mn-ea"/>
              <a:cs typeface="+mn-cs"/>
            </a:rPr>
            <a:t>their</a:t>
          </a:r>
          <a:r>
            <a:rPr lang="en-US" sz="1400" baseline="0">
              <a:solidFill>
                <a:schemeClr val="dk1"/>
              </a:solidFill>
              <a:effectLst/>
              <a:latin typeface="+mn-lt"/>
              <a:ea typeface="+mn-ea"/>
              <a:cs typeface="+mn-cs"/>
            </a:rPr>
            <a:t> money.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The charge associated with lending or borrowing money is called "interest".  It is also known as the "rate of return"  (what is being "returned" for the use of money).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You can think about it like this:  Some people have extra money, and some people need money.   So there is both a supply and a demand for money just like any other product or service (groceries, haircuts, etc).  And just like any other product or service, the exchange comes at a price. The owner of the good receives the price; the buyer/user of the good pays the price.  When it comes to exchanging money, that price is called "interest" or the "rate of return".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Both investing and borrowing are  inextricably linked to "Time Value of Money"(TVM) concepts.  Thus, before proceeding further in the course, it's imperative that you have a good handle on these concepts and practice applying them to  "what if?" scenarios.</a:t>
          </a:r>
        </a:p>
        <a:p>
          <a:endParaRPr lang="en-US" sz="1400" baseline="0">
            <a:solidFill>
              <a:schemeClr val="dk1"/>
            </a:solidFill>
            <a:effectLst/>
            <a:latin typeface="+mn-lt"/>
            <a:ea typeface="+mn-ea"/>
            <a:cs typeface="+mn-cs"/>
          </a:endParaRPr>
        </a:p>
        <a:p>
          <a:endParaRPr lang="en-US" sz="1400" baseline="0">
            <a:solidFill>
              <a:schemeClr val="dk1"/>
            </a:solidFill>
            <a:effectLst/>
            <a:latin typeface="+mn-lt"/>
            <a:ea typeface="+mn-ea"/>
            <a:cs typeface="+mn-cs"/>
          </a:endParaRPr>
        </a:p>
        <a:p>
          <a:r>
            <a:rPr lang="en-US" sz="1400" u="sng" baseline="0">
              <a:solidFill>
                <a:schemeClr val="dk1"/>
              </a:solidFill>
              <a:effectLst/>
              <a:latin typeface="+mn-lt"/>
              <a:ea typeface="+mn-ea"/>
              <a:cs typeface="+mn-cs"/>
            </a:rPr>
            <a:t>Instructions:  </a:t>
          </a:r>
        </a:p>
        <a:p>
          <a:r>
            <a:rPr lang="en-US" sz="1400" baseline="0">
              <a:solidFill>
                <a:schemeClr val="dk1"/>
              </a:solidFill>
              <a:effectLst/>
              <a:latin typeface="+mn-lt"/>
              <a:ea typeface="+mn-ea"/>
              <a:cs typeface="+mn-cs"/>
            </a:rPr>
            <a:t>Complete this Excel Workbook in the order presented, starting with Worksheet 1 (use tabs at the bottom to move between worksheets).   There are answers for you to submit on Worksheet 6.   Make sure you SCROLL DOWN each page since there is some content that you might not see otherwise.  Even if you have already been introduced to TVM in other courses, it doesn't hurt to review it again.  Additionally, you'll learn to use an online calculator rather than performing TVM calculations by formula, by table, or by Excel.</a:t>
          </a:r>
        </a:p>
        <a:p>
          <a:endParaRPr lang="en-US" sz="1400" baseline="0">
            <a:solidFill>
              <a:schemeClr val="dk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215900</xdr:colOff>
      <xdr:row>1</xdr:row>
      <xdr:rowOff>31750</xdr:rowOff>
    </xdr:from>
    <xdr:to>
      <xdr:col>3</xdr:col>
      <xdr:colOff>1894417</xdr:colOff>
      <xdr:row>40</xdr:row>
      <xdr:rowOff>63500</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215900" y="215194"/>
          <a:ext cx="11104739" cy="6268862"/>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Rate</a:t>
          </a:r>
          <a:r>
            <a:rPr lang="en-US" sz="1600" b="1" baseline="0">
              <a:solidFill>
                <a:schemeClr val="dk1"/>
              </a:solidFill>
              <a:latin typeface="+mn-lt"/>
              <a:ea typeface="+mn-ea"/>
              <a:cs typeface="+mn-cs"/>
            </a:rPr>
            <a:t> of Return (interest rate)</a:t>
          </a:r>
          <a:endParaRPr lang="en-US" sz="1600" b="1">
            <a:solidFill>
              <a:schemeClr val="dk1"/>
            </a:solidFill>
            <a:latin typeface="+mn-lt"/>
            <a:ea typeface="+mn-ea"/>
            <a:cs typeface="+mn-cs"/>
          </a:endParaRPr>
        </a:p>
        <a:p>
          <a:r>
            <a:rPr lang="en-US" sz="1400" baseline="0">
              <a:solidFill>
                <a:schemeClr val="dk1"/>
              </a:solidFill>
              <a:effectLst/>
              <a:latin typeface="+mn-lt"/>
              <a:ea typeface="+mn-ea"/>
              <a:cs typeface="+mn-cs"/>
            </a:rPr>
            <a:t>Now you know how to calculate the future value of lump sums and perodic deposits, using different compounding periods.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We used a simple example of a bank deposit account which earned a fictitious 5% interest rate.  Actually, interest rates for bank deposits are currently extremely low (hovering at less than 1%).   However, back in 1980 interest rates were around 16%!</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Interest rates at banks are extremely low, in part, because there is absolutely no risk that you will lose your money.   Bank deposit accounts are insured by the FDIC (Federal Deposit Insurance Corporation) up to $250,000 per deposit account.   If the bank were to go belly up, as some nearly did in 2009, the FDIC would give you your money.   Hence, you have almost zero risk.</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The return you earn on your money is inversely related to risk.   The more risk you take on, the more return you'll demand for the use of your money.   The amount of risk you are willing to take on will depend, in part, on when you think you'll need your money.   If you may need it in the short run (1-5 years), you don't want to risk losing it, so you'll want to keep it in a low-risk investment (such as a bank account or in US Treasury Bills, which are backed by the US government).   For example, your "emergency fund" should be kept in a low risk savings account.</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However, for money you won't need for a long time (say 35-40 years from now when you retire) you'll want to take on more risk so that you can earn a higher return.  You can also afford to take on more risk because you have a long investment horizon, and can weather any ups and downs that may come along before you need the money.  Thus most people invest  their retirment funds in stocks and bonds since these investments provide higher rates of return as a result of their higher risk. We'll cover these different types of investments in an upcoming class.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Regardless of the actual investment vehicle (bank accounts, T-bills, stocks, bonds, mutual funds, ETFs, real estate, gold, etc.) the TVM principles we reviewed in this workbook hold true.  The expected rate of return (charge for using your money) can be used as the interest rate in all TVM calculations, regardless of whether the rate of return consists of interest rates on bank accounts or bonds, or appreciation of stock, gold, or real estate. </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For each of the following 8 scenarios, use the TVM calculator to find the future value of the investment.  Also determine the "out-of-pocket" cost associated with each investment strategy (the first out-of-pocket cost is listed as an example:  $6,000 per year x 40 years= $240,000).</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NOTE:   Make sure you are careful about selecting the proper compounding period (annual vs monthly), the right time frame (annual versus monthly contributions) and are making END of period contributions.</a:t>
          </a:r>
        </a:p>
        <a:p>
          <a:endParaRPr lang="en-US" sz="1400" baseline="0">
            <a:solidFill>
              <a:schemeClr val="dk1"/>
            </a:solidFill>
            <a:effectLst/>
            <a:latin typeface="+mn-lt"/>
            <a:ea typeface="+mn-ea"/>
            <a:cs typeface="+mn-cs"/>
          </a:endParaRPr>
        </a:p>
        <a:p>
          <a:r>
            <a:rPr lang="en-US" sz="1400" baseline="0">
              <a:solidFill>
                <a:schemeClr val="dk1"/>
              </a:solidFill>
              <a:effectLst/>
              <a:latin typeface="+mn-lt"/>
              <a:ea typeface="+mn-ea"/>
              <a:cs typeface="+mn-cs"/>
            </a:rPr>
            <a:t>Record your answers to the following EIGHT scenarios and then answer the question at the end.</a:t>
          </a:r>
        </a:p>
      </xdr:txBody>
    </xdr:sp>
    <xdr:clientData/>
  </xdr:twoCellAnchor>
  <xdr:twoCellAnchor>
    <xdr:from>
      <xdr:col>0</xdr:col>
      <xdr:colOff>63500</xdr:colOff>
      <xdr:row>55</xdr:row>
      <xdr:rowOff>7055</xdr:rowOff>
    </xdr:from>
    <xdr:to>
      <xdr:col>2</xdr:col>
      <xdr:colOff>1347611</xdr:colOff>
      <xdr:row>65</xdr:row>
      <xdr:rowOff>148167</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63500" y="14012333"/>
          <a:ext cx="9228667" cy="197555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Reflect:   What are the key lessons</a:t>
          </a:r>
          <a:r>
            <a:rPr lang="en-US" sz="1400" baseline="0"/>
            <a:t> learned from comparing the results of these scenarios?</a:t>
          </a:r>
        </a:p>
        <a:p>
          <a:endParaRPr lang="en-US" sz="1400" baseline="0"/>
        </a:p>
        <a:p>
          <a:r>
            <a:rPr lang="en-US" sz="1400" baseline="0"/>
            <a:t>What I have found is that I, becuase my bank is monthly compounded, I should be depositing a small amount into my savings account or investment account every month in order to get the biggest return on investment. From these scenarios, I have seen that compounded interest monthly is more valuable than annually compounded interest. Expendedly, the amount you end up getting in return is worse if you spend les time investing, and will be even worse if you're investing in a lower rate account.</a:t>
          </a:r>
          <a:endParaRPr lang="en-US" sz="14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5:D53"/>
  <sheetViews>
    <sheetView tabSelected="1" zoomScale="90" workbookViewId="0">
      <selection activeCell="D52" sqref="D52"/>
    </sheetView>
  </sheetViews>
  <sheetFormatPr defaultRowHeight="15" x14ac:dyDescent="0.25"/>
  <cols>
    <col min="1" max="1" width="93.140625" bestFit="1" customWidth="1"/>
    <col min="2" max="2" width="20.5703125" customWidth="1"/>
    <col min="3" max="3" width="21.140625" customWidth="1"/>
    <col min="4" max="4" width="83.5703125" customWidth="1"/>
  </cols>
  <sheetData>
    <row r="35" spans="1:4" ht="9.9499999999999993" customHeight="1" x14ac:dyDescent="0.25"/>
    <row r="42" spans="1:4" ht="37.5" x14ac:dyDescent="0.3">
      <c r="A42" s="9" t="s">
        <v>12</v>
      </c>
      <c r="B42" s="2" t="s">
        <v>0</v>
      </c>
      <c r="C42" s="2" t="s">
        <v>1</v>
      </c>
      <c r="D42" s="2" t="s">
        <v>10</v>
      </c>
    </row>
    <row r="43" spans="1:4" ht="60" customHeight="1" x14ac:dyDescent="0.3">
      <c r="A43" s="3" t="s">
        <v>2</v>
      </c>
      <c r="B43" s="13">
        <v>1554339.11</v>
      </c>
      <c r="C43" s="13">
        <v>240000</v>
      </c>
      <c r="D43" s="10" t="s">
        <v>13</v>
      </c>
    </row>
    <row r="44" spans="1:4" ht="75" x14ac:dyDescent="0.3">
      <c r="A44" s="4" t="s">
        <v>3</v>
      </c>
      <c r="B44" s="1">
        <v>679699.27</v>
      </c>
      <c r="C44" s="1">
        <v>180000</v>
      </c>
      <c r="D44" s="11" t="s">
        <v>14</v>
      </c>
    </row>
    <row r="45" spans="1:4" ht="60.75" customHeight="1" x14ac:dyDescent="0.3">
      <c r="A45" s="5" t="s">
        <v>8</v>
      </c>
      <c r="B45" s="12">
        <v>452407.56</v>
      </c>
      <c r="C45" s="12">
        <f>C43</f>
        <v>240000</v>
      </c>
      <c r="D45" s="5" t="s">
        <v>15</v>
      </c>
    </row>
    <row r="46" spans="1:4" ht="57.95" customHeight="1" x14ac:dyDescent="0.3">
      <c r="A46" s="6" t="s">
        <v>4</v>
      </c>
      <c r="B46" s="14">
        <v>285452.49</v>
      </c>
      <c r="C46" s="15">
        <f>C44</f>
        <v>180000</v>
      </c>
      <c r="D46" s="6" t="s">
        <v>16</v>
      </c>
    </row>
    <row r="47" spans="1:4" ht="23.45" customHeight="1" x14ac:dyDescent="0.3">
      <c r="A47" s="7"/>
      <c r="B47" s="8"/>
      <c r="C47" s="8"/>
    </row>
    <row r="48" spans="1:4" ht="29.45" customHeight="1" x14ac:dyDescent="0.3">
      <c r="B48" s="8"/>
      <c r="C48" s="8"/>
    </row>
    <row r="49" spans="1:3" ht="37.5" x14ac:dyDescent="0.3">
      <c r="A49" s="9" t="s">
        <v>11</v>
      </c>
      <c r="B49" s="2" t="s">
        <v>0</v>
      </c>
      <c r="C49" s="2" t="s">
        <v>1</v>
      </c>
    </row>
    <row r="50" spans="1:3" ht="46.5" customHeight="1" x14ac:dyDescent="0.3">
      <c r="A50" s="3" t="s">
        <v>5</v>
      </c>
      <c r="B50" s="13">
        <v>1745503.92</v>
      </c>
      <c r="C50" s="13">
        <v>240000</v>
      </c>
    </row>
    <row r="51" spans="1:3" ht="56.25" x14ac:dyDescent="0.3">
      <c r="A51" s="4" t="s">
        <v>6</v>
      </c>
      <c r="B51" s="1">
        <v>745179.72</v>
      </c>
      <c r="C51" s="1">
        <v>180000</v>
      </c>
    </row>
    <row r="52" spans="1:3" ht="47.25" customHeight="1" x14ac:dyDescent="0.3">
      <c r="A52" s="5" t="s">
        <v>9</v>
      </c>
      <c r="B52" s="16">
        <v>463029.75</v>
      </c>
      <c r="C52" s="16">
        <f>C50</f>
        <v>240000</v>
      </c>
    </row>
    <row r="53" spans="1:3" ht="37.5" x14ac:dyDescent="0.3">
      <c r="A53" s="6" t="s">
        <v>7</v>
      </c>
      <c r="B53" s="14">
        <v>291368.44</v>
      </c>
      <c r="C53" s="14">
        <f>C51</f>
        <v>180000</v>
      </c>
    </row>
  </sheetData>
  <pageMargins left="0.7" right="0.7" top="0.75" bottom="0.75" header="0.3" footer="0.3"/>
  <pageSetup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Submission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Braun</dc:creator>
  <cp:lastModifiedBy>Trevor Swan</cp:lastModifiedBy>
  <cp:lastPrinted>2025-02-17T20:05:46Z</cp:lastPrinted>
  <dcterms:created xsi:type="dcterms:W3CDTF">2020-05-15T15:55:39Z</dcterms:created>
  <dcterms:modified xsi:type="dcterms:W3CDTF">2025-02-17T20:07:07Z</dcterms:modified>
</cp:coreProperties>
</file>